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izing Tool" sheetId="1" state="visible" r:id="rId3"/>
    <sheet name="Model Presets" sheetId="2" state="visible" r:id="rId4"/>
    <sheet name="GPU Capacity" sheetId="3" state="visible" r:id="rId5"/>
    <sheet name="Validation" sheetId="4" state="visible" r:id="rId6"/>
    <sheet name="Notes &amp; Sources"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<sst xmlns="http://schemas.openxmlformats.org/spreadsheetml/2006/main" count="403" uniqueCount="253">
  <si>
    <t xml:space="preserve">GPU Memory Sizing — Training a Transformer on a Single GPU</t>
  </si>
  <si>
    <t xml:space="preserve">Companion tool to Article 1, "Training: The Four Line Items of GPU Memory." Fill in the four steps below. Everything else calculates.</t>
  </si>
  <si>
    <t xml:space="preserve">YOUR ANSWER — this strip stays visible while you change anything below</t>
  </si>
  <si>
    <t xml:space="preserve">TOTAL GPU MEMORY NEEDED (GB)</t>
  </si>
  <si>
    <t xml:space="preserve">Size your GPU against this number. It is peak allocated memory plus allocator overhead.</t>
  </si>
  <si>
    <t xml:space="preserve">Your GPU's usable capacity (GB)</t>
  </si>
  <si>
    <t xml:space="preserve">Set in Step 4 below.</t>
  </si>
  <si>
    <t xml:space="preserve">Does this job fit?</t>
  </si>
  <si>
    <t xml:space="preserve">Headroom (GB)</t>
  </si>
  <si>
    <t xml:space="preserve">Negative means you are over capacity by this much.</t>
  </si>
  <si>
    <t xml:space="preserve">Card utilization</t>
  </si>
  <si>
    <t xml:space="preserve">LEGEND:  blue text on yellow = you edit these  |  black text = calculated, do not edit  |  green text = pulled from another tab.  The workbook opens pre-filled with the exact configuration benchmarked in Article 1, as a worked example.</t>
  </si>
  <si>
    <t xml:space="preserve">STEP 1 — YOUR MODEL</t>
  </si>
  <si>
    <t xml:space="preserve">Model size</t>
  </si>
  <si>
    <t xml:space="preserve">Article 1 worked model (1.0B)</t>
  </si>
  <si>
    <t xml:space="preserve">Pick from the dropdown. This is the only model input most people need.</t>
  </si>
  <si>
    <t xml:space="preserve">Architecture</t>
  </si>
  <si>
    <t xml:space="preserve">Parameter count</t>
  </si>
  <si>
    <t xml:space="preserve">Calculated from the architecture above.</t>
  </si>
  <si>
    <t xml:space="preserve">STEP 2 — YOUR TRAINING CONFIGURATION</t>
  </si>
  <si>
    <t xml:space="preserve">Batch size (rows per batch)</t>
  </si>
  <si>
    <t xml:space="preserve">Examples processed at once. Drives activations linearly.</t>
  </si>
  <si>
    <t xml:space="preserve">Sequence length (tokens per example)</t>
  </si>
  <si>
    <t xml:space="preserve">Tokens, or features, per example. Drives activations linearly.</t>
  </si>
  <si>
    <t xml:space="preserve">Compute precision</t>
  </si>
  <si>
    <t xml:space="preserve">BF16 mixed precision</t>
  </si>
  <si>
    <t xml:space="preserve">Mixed precision computes in 16-bit but still stores weights, gradients and optimizer state in FP32. It shrinks activations, not the static line items.</t>
  </si>
  <si>
    <t xml:space="preserve">STEP 3 — MEMORY-SAVING OPTIONS</t>
  </si>
  <si>
    <t xml:space="preserve">Optimizer (memory strategy)</t>
  </si>
  <si>
    <t xml:space="preserve">Standard Adam</t>
  </si>
  <si>
    <t xml:space="preserve">8-bit Adam cuts optimizer state from 8 to 2 bytes per parameter. Small accuracy risk.</t>
  </si>
  <si>
    <t xml:space="preserve">Activation checkpointing</t>
  </si>
  <si>
    <t xml:space="preserve">Off</t>
  </si>
  <si>
    <t xml:space="preserve">The highest-leverage lever. Turning it On trades roughly a third more training time for a large drop in activation memory.</t>
  </si>
  <si>
    <t xml:space="preserve">Attention implementation</t>
  </si>
  <si>
    <t xml:space="preserve">Memory-efficient (PyTorch SDPA or FlashAttention)</t>
  </si>
  <si>
    <t xml:space="preserve">Leave this on Memory-efficient if you use PyTorch scaled_dot_product_attention or FlashAttention — nearly everyone does. Choose Standard only if you wrote attention by hand.</t>
  </si>
  <si>
    <t xml:space="preserve">CAUTION on the Standard attention option: it adds layers x batch size x attention heads x sequence length SQUARED x activation bytes. That term grows with the square of sequence length and can dominate everything else. It is calculated, not validated — the benchmark behind this workbook only ever ran memory-efficient attention.</t>
  </si>
  <si>
    <t xml:space="preserve">STEP 4 — YOUR HARDWARE</t>
  </si>
  <si>
    <t xml:space="preserve">GPU</t>
  </si>
  <si>
    <t xml:space="preserve">NVIDIA H100 80GB</t>
  </si>
  <si>
    <t xml:space="preserve">One GPU. Multi-GPU strategies are a later article in the series.</t>
  </si>
  <si>
    <t xml:space="preserve">Usable capacity after driver reserve (GB)</t>
  </si>
  <si>
    <t xml:space="preserve">From the GPU Capacity tab.</t>
  </si>
  <si>
    <t xml:space="preserve">Your capacity override (GB)</t>
  </si>
  <si>
    <t xml:space="preserve">Fill this in if your card is not in the list, or you want to reserve capacity for something else.</t>
  </si>
  <si>
    <t xml:space="preserve">Capacity used in this calculation (GB)</t>
  </si>
  <si>
    <t xml:space="preserve">RESULT — THE FOUR LINE ITEMS (GB)</t>
  </si>
  <si>
    <t xml:space="preserve">Line item</t>
  </si>
  <si>
    <t xml:space="preserve">Memory (GB)</t>
  </si>
  <si>
    <t xml:space="preserve">Weights</t>
  </si>
  <si>
    <t xml:space="preserve">Parameter count x 4 bytes. Storage is FP32 even under mixed precision.</t>
  </si>
  <si>
    <t xml:space="preserve">Gradients</t>
  </si>
  <si>
    <t xml:space="preserve">One gradient per weight, same precision as the weight.</t>
  </si>
  <si>
    <t xml:space="preserve">Optimizer states</t>
  </si>
  <si>
    <t xml:space="preserve">Standard Adam: 8 bytes per parameter. 8-bit Adam: 2 bytes per parameter.</t>
  </si>
  <si>
    <t xml:space="preserve">Activations</t>
  </si>
  <si>
    <t xml:space="preserve">The dynamic line item. Scales with batch size x sequence length.</t>
  </si>
  <si>
    <t xml:space="preserve">Mixed-precision weight cache</t>
  </si>
  <si>
    <t xml:space="preserve">A fifth item, not one of the four. A 16-bit copy of the weights that exists only under mixed precision, and is released before the peak in most runs.</t>
  </si>
  <si>
    <t xml:space="preserve">PEAK ALLOCATED (GB)</t>
  </si>
  <si>
    <t xml:space="preserve">Allocator overhead — CUDA context plus fragmentation (GB)</t>
  </si>
  <si>
    <t xml:space="preserve">TOTAL TO SIZE AGAINST — reserved (GB)</t>
  </si>
  <si>
    <t xml:space="preserve">Which phase sets the peak</t>
  </si>
  <si>
    <t xml:space="preserve">With activation checkpointing on, peak memory is the largest of three moments, not their sum.</t>
  </si>
  <si>
    <t xml:space="preserve">ADVANCED — open only if you need to change the model shape or the overhead allowances</t>
  </si>
  <si>
    <t xml:space="preserve">Architecture overrides</t>
  </si>
  <si>
    <t xml:space="preserve">From preset</t>
  </si>
  <si>
    <t xml:space="preserve">Your override (optional)</t>
  </si>
  <si>
    <t xml:space="preserve">Used</t>
  </si>
  <si>
    <t xml:space="preserve">   Hidden dimension</t>
  </si>
  <si>
    <t xml:space="preserve">   Layers</t>
  </si>
  <si>
    <t xml:space="preserve">   Attention heads</t>
  </si>
  <si>
    <t xml:space="preserve">   Feed-forward multiplier</t>
  </si>
  <si>
    <t xml:space="preserve">   Output vocabulary / output width</t>
  </si>
  <si>
    <t xml:space="preserve">   Parameter count</t>
  </si>
  <si>
    <t xml:space="preserve">Override only if you know your exact count.</t>
  </si>
  <si>
    <t xml:space="preserve">WARNING: if you override the parameter count with a value that does not match the architecture above, the weights, gradients and optimizer lines will use your number but the activation line will still use the architecture. Change the architecture instead when you can.</t>
  </si>
  <si>
    <t xml:space="preserve">Overhead allowances — edit only if you have better measurements</t>
  </si>
  <si>
    <t xml:space="preserve">CUDA context (GB)</t>
  </si>
  <si>
    <t xml:space="preserve">Estimated. Driver and kernel-library state. Invisible to PyTorch's memory API, so it cannot be measured from inside training. Source: benchmark/predictions.py, CUDA_CONTEXT_OVERHEAD_GB.</t>
  </si>
  <si>
    <t xml:space="preserve">Fragmentation allowance, activation checkpointing off (GB)</t>
  </si>
  <si>
    <t xml:space="preserve">Measured range 0.95-1.11 GB across two configurations in benchmark/reference-run/results.csv. Source: benchmark/predictions.py, FRAGMENTATION_GB.</t>
  </si>
  <si>
    <t xml:space="preserve">Fragmentation allowance, activation checkpointing on (GB)</t>
  </si>
  <si>
    <t xml:space="preserve">Measured range 3.58-6.12 GB across three configurations in benchmark/reference-run/results.csv. Provisional. Source: benchmark/predictions.py, CHECKPOINTING_FRAGMENTATION_GB.</t>
  </si>
  <si>
    <t xml:space="preserve">Formula constants — driven by your Step 2 and Step 3 choices</t>
  </si>
  <si>
    <t xml:space="preserve">Activation bytes per element</t>
  </si>
  <si>
    <t xml:space="preserve">2 bytes under 16-bit compute, 4 under FP32.</t>
  </si>
  <si>
    <t xml:space="preserve">Optimizer bytes per parameter</t>
  </si>
  <si>
    <t xml:space="preserve">Momentum plus variance. FP32 each under standard Adam, INT8 each under 8-bit Adam.</t>
  </si>
  <si>
    <t xml:space="preserve">WORKINGS — intermediate values. Open this to check the math or adapt the formulas; you do not need it to size a job</t>
  </si>
  <si>
    <t xml:space="preserve">Intermediate value</t>
  </si>
  <si>
    <t xml:space="preserve">Result</t>
  </si>
  <si>
    <t xml:space="preserve">Units</t>
  </si>
  <si>
    <t xml:space="preserve">Elements per (batch x sequence x hidden) tensor</t>
  </si>
  <si>
    <t xml:space="preserve">elements</t>
  </si>
  <si>
    <t xml:space="preserve">Elements per feed-forward tensor</t>
  </si>
  <si>
    <t xml:space="preserve">Attention-matrix elements per layer</t>
  </si>
  <si>
    <t xml:space="preserve">Zero with memory-efficient attention, which never materializes the full matrix.</t>
  </si>
  <si>
    <t xml:space="preserve">Per-layer activation bytes, activation checkpointing off</t>
  </si>
  <si>
    <t xml:space="preserve">bytes</t>
  </si>
  <si>
    <t xml:space="preserve">Nine hidden-sized tensors (seven attention, two feed-forward pre-norm) and two feed-forward hidden tensors at the activation byte width, plus three 1-byte dropout masks: two hidden-sized, one feed-forward-sized.</t>
  </si>
  <si>
    <t xml:space="preserve">Once-per-model activation bytes</t>
  </si>
  <si>
    <t xml:space="preserve">Embedding output, logits, and the FP32 loss upcast that mixed-precision autocast forces.</t>
  </si>
  <si>
    <t xml:space="preserve">Activations, activation checkpointing off</t>
  </si>
  <si>
    <t xml:space="preserve">Activations, activation checkpointing on</t>
  </si>
  <si>
    <t xml:space="preserve">Saved layer boundaries are 4 bytes per element even under 16-bit compute — layer norms and residual adds run in FP32.</t>
  </si>
  <si>
    <t xml:space="preserve">Phase peak 1 — backward pass, recomputing</t>
  </si>
  <si>
    <t xml:space="preserve">GB</t>
  </si>
  <si>
    <t xml:space="preserve">These three phase rows apply only when activation checkpointing is on.</t>
  </si>
  <si>
    <t xml:space="preserve">Phase peak 2 — optimizer step</t>
  </si>
  <si>
    <t xml:space="preserve">Standard Adam materializes one parameter-sized set of update temporaries. 8-bit Adam updates in place.</t>
  </si>
  <si>
    <t xml:space="preserve">Phase peak 3 — forward pass</t>
  </si>
  <si>
    <t xml:space="preserve">One segment's forward transient</t>
  </si>
  <si>
    <t xml:space="preserve">Implied bytes per element per layer</t>
  </si>
  <si>
    <t xml:space="preserve">bytes/element/layer</t>
  </si>
  <si>
    <t xml:space="preserve">Ties back to the article's ~40 bytes. Exact at feed-forward multiplier 4 with 16-bit compute; higher under FP32. Ignores activation checkpointing.</t>
  </si>
  <si>
    <t xml:space="preserve">Source for every formula on this tab: benchmark/predictions.py in odog96/gpu-sizing-playbook, validated against the 24-configuration H100 80GB sweep in benchmark/reference-run/results.csv. See the Validation tab for the config-by-config comparison, and the Notes &amp; Sources tab for what is measured, calculated, and unvalidated.</t>
  </si>
  <si>
    <t xml:space="preserve">Why the four line items here total 16 bytes per parameter while Article 1 shows a different split: this workbook reports what PyTorch automatic mixed precision actually allocates — FP32 weights (4), FP32 gradients (4) and 8 bytes of Adam state, with the 16-bit weight copy shown separately as a fifth row. Article 1 folds the FP32 master copy into the optimizer line instead. Same total, different attribution.</t>
  </si>
  <si>
    <t xml:space="preserve">Architecture presets — pick a model size on the Sizing Tool tab and these fill in automatically</t>
  </si>
  <si>
    <t xml:space="preserve">You never have to know these numbers. They exist so the activation math has an architecture to work with. Override any of them on the Sizing Tool tab if you know your real model's shape.</t>
  </si>
  <si>
    <t xml:space="preserve">Preset</t>
  </si>
  <si>
    <t xml:space="preserve">Hidden dimension</t>
  </si>
  <si>
    <t xml:space="preserve">Layers</t>
  </si>
  <si>
    <t xml:space="preserve">Attention heads</t>
  </si>
  <si>
    <t xml:space="preserve">Feed-forward multiplier</t>
  </si>
  <si>
    <t xml:space="preserve">Output vocabulary / output width</t>
  </si>
  <si>
    <t xml:space="preserve">Parameter count (calculated)</t>
  </si>
  <si>
    <t xml:space="preserve">Source of these shapes</t>
  </si>
  <si>
    <t xml:space="preserve">Exact architecture benchmarked in benchmark/reference-run/results.csv</t>
  </si>
  <si>
    <t xml:space="preserve">125M</t>
  </si>
  <si>
    <t xml:space="preserve">Conventional transformer shape for this size class</t>
  </si>
  <si>
    <t xml:space="preserve">350M</t>
  </si>
  <si>
    <t xml:space="preserve">1B</t>
  </si>
  <si>
    <t xml:space="preserve">3B</t>
  </si>
  <si>
    <t xml:space="preserve">7B</t>
  </si>
  <si>
    <t xml:space="preserve">13B</t>
  </si>
  <si>
    <t xml:space="preserve">30B</t>
  </si>
  <si>
    <t xml:space="preserve">70B</t>
  </si>
  <si>
    <t xml:space="preserve">Parameter-count formula: (4 + 2 x feed-forward multiplier) x hidden dimension^2 x layers + 2 x output vocabulary x hidden dimension. Source: benchmark/model.py, analytical_param_count(), in odog96/gpu-sizing-playbook. It ignores biases and layer-norm parameters (~0.05% of the total: the Article 1 worked model measures 1,011,262,440 parameters on device vs. 1,010,728,960 calculated here).</t>
  </si>
  <si>
    <t xml:space="preserve">GPU usable capacity</t>
  </si>
  <si>
    <t xml:space="preserve">Units are decimal GB (1 GB = 1,000,000,000 bytes) throughout this workbook, matching benchmark/predictions.py. A card's advertised size is in GiB, which is why an '80 GB' card shows 85 GB here.</t>
  </si>
  <si>
    <t xml:space="preserve">Advertised size (GiB)</t>
  </si>
  <si>
    <t xml:space="preserve">Usable capacity (GB, decimal)</t>
  </si>
  <si>
    <t xml:space="preserve">Basis</t>
  </si>
  <si>
    <t xml:space="preserve">Measured — torch reported 79.18 GiB usable in this benchmark's own out-of-memory messages</t>
  </si>
  <si>
    <t xml:space="preserve">NVIDIA A100 80GB</t>
  </si>
  <si>
    <t xml:space="preserve">Estimated — same 80 GiB class as the measured H100 row above</t>
  </si>
  <si>
    <t xml:space="preserve">NVIDIA A100 40GB</t>
  </si>
  <si>
    <t xml:space="preserve">Estimated — advertised size less 1% for driver reserve</t>
  </si>
  <si>
    <t xml:space="preserve">NVIDIA L40S 48GB</t>
  </si>
  <si>
    <t xml:space="preserve">NVIDIA RTX PRO 6000 Blackwell 96GB</t>
  </si>
  <si>
    <t xml:space="preserve">NVIDIA A10G 24GB</t>
  </si>
  <si>
    <t xml:space="preserve">NVIDIA RTX 4090 24GB</t>
  </si>
  <si>
    <t xml:space="preserve">NVIDIA H200 141GB</t>
  </si>
  <si>
    <t xml:space="preserve">NVIDIA B200 180GB</t>
  </si>
  <si>
    <t xml:space="preserve">NVIDIA H100 NVL 94GB</t>
  </si>
  <si>
    <t xml:space="preserve">NVIDIA RTX 6000 Ada 48GB</t>
  </si>
  <si>
    <t xml:space="preserve">Other — use the override cell on the Sizing Tool tab</t>
  </si>
  <si>
    <t xml:space="preserve">Enter your own usable capacity on the Sizing Tool tab</t>
  </si>
  <si>
    <t xml:space="preserve">Validation — the same formulas, run against all 24 configurations of the H100 80GB sweep</t>
  </si>
  <si>
    <t xml:space="preserve">Every white column is calculated live by the same arithmetic as the Sizing Tool tab. The measured columns come from benchmark/reference-run/results.csv in odog96/gpu-sizing-playbook. Error is calculated peak allocated against measured peak allocated; blank where the configuration ran out of memory.</t>
  </si>
  <si>
    <t xml:space="preserve">Usable capacity used for the out-of-memory call (GB):</t>
  </si>
  <si>
    <t xml:space="preserve">Lever</t>
  </si>
  <si>
    <t xml:space="preserve">Lever value</t>
  </si>
  <si>
    <t xml:space="preserve">Hidden dim</t>
  </si>
  <si>
    <t xml:space="preserve">Heads</t>
  </si>
  <si>
    <t xml:space="preserve">FF mult</t>
  </si>
  <si>
    <t xml:space="preserve">Vocab</t>
  </si>
  <si>
    <t xml:space="preserve">Batch size</t>
  </si>
  <si>
    <t xml:space="preserve">Sequence length</t>
  </si>
  <si>
    <t xml:space="preserve">Precision</t>
  </si>
  <si>
    <t xml:space="preserve">Optimizer</t>
  </si>
  <si>
    <t xml:space="preserve">Checkpointing</t>
  </si>
  <si>
    <t xml:space="preserve">Activation bytes/elem</t>
  </si>
  <si>
    <t xml:space="preserve">Elements B*S*d</t>
  </si>
  <si>
    <t xml:space="preserve">Elements B*S*f*d</t>
  </si>
  <si>
    <t xml:space="preserve">Per-layer bytes</t>
  </si>
  <si>
    <t xml:space="preserve">Once-per-model bytes</t>
  </si>
  <si>
    <t xml:space="preserve">Activations no ckpt (bytes)</t>
  </si>
  <si>
    <t xml:space="preserve">Activations ckpt (bytes)</t>
  </si>
  <si>
    <t xml:space="preserve">Segment transient (bytes)</t>
  </si>
  <si>
    <t xml:space="preserve">Weights (GB)</t>
  </si>
  <si>
    <t xml:space="preserve">Gradients (GB)</t>
  </si>
  <si>
    <t xml:space="preserve">Optimizer (GB)</t>
  </si>
  <si>
    <t xml:space="preserve">BF16 cache (GB)</t>
  </si>
  <si>
    <t xml:space="preserve">Activations (GB)</t>
  </si>
  <si>
    <t xml:space="preserve">Phase 1 backward (GB)</t>
  </si>
  <si>
    <t xml:space="preserve">Phase 2 opt step (GB)</t>
  </si>
  <si>
    <t xml:space="preserve">Phase 3 forward (GB)</t>
  </si>
  <si>
    <t xml:space="preserve">PEAK ALLOCATED calc (GB)</t>
  </si>
  <si>
    <t xml:space="preserve">RESERVED calc (GB)</t>
  </si>
  <si>
    <t xml:space="preserve">Predicted</t>
  </si>
  <si>
    <t xml:space="preserve">Measured allocated (GB)</t>
  </si>
  <si>
    <t xml:space="preserve">Measured reserved (GB)</t>
  </si>
  <si>
    <t xml:space="preserve">Error vs measured</t>
  </si>
  <si>
    <t xml:space="preserve">baseline</t>
  </si>
  <si>
    <t xml:space="preserve">amp_bf16</t>
  </si>
  <si>
    <t xml:space="preserve">adam</t>
  </si>
  <si>
    <t xml:space="preserve">No</t>
  </si>
  <si>
    <t xml:space="preserve">batch_size</t>
  </si>
  <si>
    <t xml:space="preserve">256</t>
  </si>
  <si>
    <t xml:space="preserve">1024</t>
  </si>
  <si>
    <t xml:space="preserve">OOM</t>
  </si>
  <si>
    <t xml:space="preserve">4096</t>
  </si>
  <si>
    <t xml:space="preserve">seq_len</t>
  </si>
  <si>
    <t xml:space="preserve">100</t>
  </si>
  <si>
    <t xml:space="preserve">512</t>
  </si>
  <si>
    <t xml:space="preserve">2048</t>
  </si>
  <si>
    <t xml:space="preserve">optimizer</t>
  </si>
  <si>
    <t xml:space="preserve">adam8bit</t>
  </si>
  <si>
    <t xml:space="preserve">checkpointing</t>
  </si>
  <si>
    <t xml:space="preserve">False</t>
  </si>
  <si>
    <t xml:space="preserve">True</t>
  </si>
  <si>
    <t xml:space="preserve">Yes</t>
  </si>
  <si>
    <t xml:space="preserve">checkpointing_batch</t>
  </si>
  <si>
    <t xml:space="preserve">checkpointing_seq</t>
  </si>
  <si>
    <t xml:space="preserve">combined</t>
  </si>
  <si>
    <t xml:space="preserve">both</t>
  </si>
  <si>
    <t xml:space="preserve">precision</t>
  </si>
  <si>
    <t xml:space="preserve">fp32</t>
  </si>
  <si>
    <t xml:space="preserve">Largest absolute error across configurations that completed:</t>
  </si>
  <si>
    <t xml:space="preserve">Blue cells are inputs taken verbatim from results.csv. Black cells are calculated by this workbook. Column L 'Checkpointing' was 'True'/'False' in the source file and is written 'Yes'/'No' here to match the Sizing Tool tab. The activation formulas in columns Q and T assume memory-efficient attention (they omit the attention-matrix term that the Sizing Tool's cells B67 and B70 add when its 'Memory-efficient attention' toggle is set to No). Every one of the 24 configurations in this sweep used memory-efficient attention, so the two tabs produce identical numbers for the rows above; they would diverge on the Sizing Tool tab if that toggle were flipped.</t>
  </si>
  <si>
    <t xml:space="preserve">Notes and sources</t>
  </si>
  <si>
    <t xml:space="preserve">What this workbook models</t>
  </si>
  <si>
    <t xml:space="preserve">Peak GPU memory for training one transformer on ONE GPU. Weights, gradients, and optimizer state are stored in FP32 in this training recipe, even when compute precision is BF16 — mixed precision changes the dtype used during the matrix multiplies, not the dtype of stored parameters.</t>
  </si>
  <si>
    <t xml:space="preserve">Where the formulas come from</t>
  </si>
  <si>
    <t xml:space="preserve">benchmark/predictions.py in github.com/odog96/gpu-sizing-playbook. Plain-arithmetic restatement in articles/1-training/memory-formulas.md, section 6.</t>
  </si>
  <si>
    <t xml:space="preserve">Where the measurements come from</t>
  </si>
  <si>
    <t xml:space="preserve">benchmark/reference-run/results.csv — a 24-configuration training sweep on a single NVIDIA H100 80GB, varying batch size, sequence length, optimizer, compute precision, and activation checkpointing.</t>
  </si>
  <si>
    <t xml:space="preserve">How accurate is it</t>
  </si>
  <si>
    <t xml:space="preserve">Against the configurations in that sweep that completed: +2.00% at the baseline (batch 256, sequence 100, hidden 2,048, 20 layers, BF16 mixed precision, standard Adam), +2.17% with 8-bit Adam, and -0.48% to -0.59% on the three that used activation checkpointing. Every configuration that ran out of memory was predicted to.</t>
  </si>
  <si>
    <t xml:space="preserve">HIGH confidence — measured</t>
  </si>
  <si>
    <t xml:space="preserve">Weights, gradients, and optimizer state: summed directly from real tensors on the device. The 8-bit Adam saving was measured at 6.04 GB against 6.07 GB calculated. The BF16 weight cache was isolated at 1.98 GB measured against 2.02 GB calculated.</t>
  </si>
  <si>
    <t xml:space="preserve">HIGH confidence — calculated and validated</t>
  </si>
  <si>
    <t xml:space="preserve">The activation formula, both with and without activation checkpointing. The checkpointed version was rebuilt on 2026-07-31 from a CUDA allocator-history replay that identified every live memory block at the peak moment.</t>
  </si>
  <si>
    <t xml:space="preserve">SPECULATIVE — the dropout-mask term</t>
  </si>
  <si>
    <t xml:space="preserve">The per-layer activation formula assumes three dropout masks are materialized as 1-byte tensors. Some fused CUDA dropout kernels save only the random-number generator state instead, which would make this term zero. It is a small fraction of the total either way.</t>
  </si>
  <si>
    <t xml:space="preserve">NOT VALIDATED — memory-efficient attention set to No</t>
  </si>
  <si>
    <t xml:space="preserve">The benchmark only ever ran memory-efficient attention. The attention-probability-matrix term this workbook adds when you answer No is calculated from first principles and has never been measured here.</t>
  </si>
  <si>
    <t xml:space="preserve">NOT VALIDATED — configurations far from the benchmarked shape</t>
  </si>
  <si>
    <t xml:space="preserve">Very large batch sizes, very long sequence lengths, and model sizes well away from 1 billion parameters are formula extrapolations. The formula has no fitted constants, which is a good sign, but it has not been measured at those points.</t>
  </si>
  <si>
    <t xml:space="preserve">ESTIMATED — CUDA context and fragmentation</t>
  </si>
  <si>
    <t xml:space="preserve">These two allowances translate 'allocated' into 'will this actually fit on a card'. PyTorch's memory API cannot see CUDA context overhead at all. The fragmentation allowances come from the gap between reserved and allocated memory in the sweep: 0.95-1.11 GB without activation checkpointing across two configurations, and 3.58-6.12 GB with it across three. Both are editable on the Sizing Tool tab.</t>
  </si>
  <si>
    <t xml:space="preserve">NOT MODELED — data pipeline memory</t>
  </si>
  <si>
    <t xml:space="preserve">These line items account for the model only. GPU-resident data pipelines, RAPIDS and cuDF in particular, can hold significant VRAM outside the model, and for smaller models the pipeline can be the larger consumer. Budget for it separately.</t>
  </si>
  <si>
    <t xml:space="preserve">NOT MODELED — weight quantization</t>
  </si>
  <si>
    <t xml:space="preserve">This workbook covers optimizer-state quantization, standard Adam against 8-bit Adam. It does not cover storing weights themselves in INT8 or 4-bit, which the benchmark never ran.</t>
  </si>
  <si>
    <t xml:space="preserve">NOT MODELED — ragged batches</t>
  </si>
  <si>
    <t xml:space="preserve">These numbers assume every example is the same shape. With variable-length examples, peak memory follows the longest sequence in the batch, not the average.</t>
  </si>
  <si>
    <t xml:space="preserve">NOT MODELED — multiple GPUs</t>
  </si>
  <si>
    <t xml:space="preserve">Single GPU only. Data parallelism, ZeRO sharding, and tensor parallelism are covered elsewhere in the series.</t>
  </si>
  <si>
    <t xml:space="preserve">1 GB = 1,000,000,000 bytes throughout, matching benchmark/predictions.py. Card capacities are advertised in GiB (1,073,741,824 bytes), which is why an '80 GB' card shows about 85 GB of usable capacity here.</t>
  </si>
</sst>
</file>

<file path=xl/styles.xml><?xml version="1.0" encoding="utf-8"?>
<styleSheet xmlns="http://schemas.openxmlformats.org/spreadsheetml/2006/main">
  <numFmts count="5">
    <numFmt numFmtId="164" formatCode="General"/>
    <numFmt numFmtId="165" formatCode="#,##0.00"/>
    <numFmt numFmtId="166" formatCode="0.0%"/>
    <numFmt numFmtId="167" formatCode="#,##0"/>
    <numFmt numFmtId="168" formatCode="0.00%"/>
  </numFmts>
  <fonts count="16">
    <font>
      <sz val="11"/>
      <color theme="1"/>
      <name val="Calibri"/>
      <family val="2"/>
      <charset val="1"/>
    </font>
    <font>
      <sz val="10"/>
      <name val="Arial"/>
      <family val="0"/>
    </font>
    <font>
      <sz val="10"/>
      <name val="Arial"/>
      <family val="0"/>
    </font>
    <font>
      <sz val="10"/>
      <name val="Arial"/>
      <family val="0"/>
    </font>
    <font>
      <b val="true"/>
      <sz val="15"/>
      <color rgb="FF1F3864"/>
      <name val="Arial"/>
      <family val="0"/>
      <charset val="1"/>
    </font>
    <font>
      <i val="true"/>
      <sz val="10"/>
      <color rgb="FF595959"/>
      <name val="Arial"/>
      <family val="0"/>
      <charset val="1"/>
    </font>
    <font>
      <b val="true"/>
      <sz val="11"/>
      <color rgb="FFFFFFFF"/>
      <name val="Arial"/>
      <family val="0"/>
      <charset val="1"/>
    </font>
    <font>
      <b val="true"/>
      <sz val="12"/>
      <name val="Arial"/>
      <family val="0"/>
      <charset val="1"/>
    </font>
    <font>
      <i val="true"/>
      <sz val="8"/>
      <color rgb="FF595959"/>
      <name val="Arial"/>
      <family val="0"/>
      <charset val="1"/>
    </font>
    <font>
      <sz val="10"/>
      <name val="Arial"/>
      <family val="0"/>
      <charset val="1"/>
    </font>
    <font>
      <sz val="10"/>
      <color rgb="FF0000FF"/>
      <name val="Arial"/>
      <family val="0"/>
      <charset val="1"/>
    </font>
    <font>
      <i val="true"/>
      <sz val="9"/>
      <color rgb="FF595959"/>
      <name val="Arial"/>
      <family val="0"/>
      <charset val="1"/>
    </font>
    <font>
      <sz val="10"/>
      <color rgb="FF008000"/>
      <name val="Arial"/>
      <family val="0"/>
      <charset val="1"/>
    </font>
    <font>
      <b val="true"/>
      <sz val="10"/>
      <name val="Arial"/>
      <family val="0"/>
      <charset val="1"/>
    </font>
    <font>
      <b val="true"/>
      <sz val="10"/>
      <color rgb="FF1F3864"/>
      <name val="Arial"/>
      <family val="0"/>
      <charset val="1"/>
    </font>
    <font>
      <b val="true"/>
      <sz val="13"/>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E2EFDA"/>
        <bgColor rgb="FFF2F2F2"/>
      </patternFill>
    </fill>
    <fill>
      <patternFill patternType="solid">
        <fgColor rgb="FFFFFF99"/>
        <bgColor rgb="FFE2EFDA"/>
      </patternFill>
    </fill>
    <fill>
      <patternFill patternType="solid">
        <fgColor rgb="FFD9E2F3"/>
        <bgColor rgb="FFE2EFDA"/>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3"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9" fillId="3"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6" fontId="9" fillId="3"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7" fontId="10" fillId="4"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2" fillId="0" borderId="0" xfId="0" applyFont="true" applyBorder="false" applyAlignment="true" applyProtection="false">
      <alignment horizontal="general" vertical="bottom" textRotation="0" wrapText="false" indent="0" shrinkToFit="false"/>
      <protection locked="true" hidden="false"/>
    </xf>
    <xf numFmtId="165" fontId="10" fillId="4"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3" fillId="5" borderId="0" xfId="0" applyFont="true" applyBorder="false" applyAlignment="true" applyProtection="false">
      <alignment horizontal="general" vertical="bottom" textRotation="0" wrapText="false" indent="0" shrinkToFit="false"/>
      <protection locked="true" hidden="false"/>
    </xf>
    <xf numFmtId="165" fontId="9" fillId="6"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5" fontId="13" fillId="3" borderId="0" xfId="0" applyFont="true" applyBorder="false" applyAlignment="true" applyProtection="false">
      <alignment horizontal="general" vertical="bottom" textRotation="0" wrapText="false" indent="0" shrinkToFit="false"/>
      <protection locked="true" hidden="false"/>
    </xf>
    <xf numFmtId="164" fontId="14" fillId="5"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13" fillId="5" borderId="0" xfId="0" applyFont="true" applyBorder="false" applyAlignment="true" applyProtection="false">
      <alignment horizontal="center" vertical="bottom" textRotation="0" wrapText="false" indent="0" shrinkToFit="false"/>
      <protection locked="true" hidden="false"/>
    </xf>
    <xf numFmtId="167" fontId="12" fillId="0" borderId="0" xfId="0" applyFont="true" applyBorder="false" applyAlignment="true" applyProtection="false">
      <alignment horizontal="general" vertical="bottom" textRotation="0" wrapText="false" indent="0" shrinkToFit="false"/>
      <protection locked="true" hidden="false"/>
    </xf>
    <xf numFmtId="167" fontId="13"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3" fillId="5" borderId="1" xfId="0" applyFont="true" applyBorder="tru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bottom" textRotation="0" wrapText="false" indent="0" shrinkToFit="false"/>
      <protection locked="true" hidden="false"/>
    </xf>
    <xf numFmtId="165" fontId="9" fillId="4" borderId="0" xfId="0" applyFont="true" applyBorder="fals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7" fontId="10" fillId="0" borderId="1" xfId="0" applyFont="true" applyBorder="true" applyAlignment="tru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bottom" textRotation="0" wrapText="false" indent="0" shrinkToFit="false"/>
      <protection locked="true" hidden="false"/>
    </xf>
    <xf numFmtId="168" fontId="13"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006100"/>
        <sz val="12"/>
      </font>
      <fill>
        <patternFill>
          <bgColor rgb="FFC6EFCE"/>
        </patternFill>
      </fill>
    </dxf>
    <dxf>
      <font>
        <name val="Arial"/>
        <charset val="1"/>
        <family val="0"/>
        <b val="1"/>
        <color rgb="FF9C0006"/>
        <sz val="12"/>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2F2F2"/>
      <rgbColor rgb="FFE2EFD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61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6796875" defaultRowHeight="15" zeroHeight="false" outlineLevelRow="1" outlineLevelCol="0"/>
  <cols>
    <col collapsed="false" customWidth="true" hidden="false" outlineLevel="0" max="1" min="1" style="1" width="52"/>
    <col collapsed="false" customWidth="true" hidden="false" outlineLevel="0" max="2" min="2" style="1" width="30"/>
    <col collapsed="false" customWidth="true" hidden="false" outlineLevel="0" max="3" min="3" style="1" width="74"/>
    <col collapsed="false" customWidth="true" hidden="false" outlineLevel="0" max="4" min="4" style="1" width="62"/>
    <col collapsed="false" customWidth="true" hidden="false" outlineLevel="0" max="5" min="5" style="1" width="16"/>
    <col collapsed="false" customWidth="true" hidden="false" outlineLevel="0" max="6" min="6" style="1" width="12"/>
    <col collapsed="false" customWidth="true" hidden="false" outlineLevel="0" max="7" min="7" style="1" width="46"/>
  </cols>
  <sheetData>
    <row r="1" customFormat="false" ht="18"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5"/>
      <c r="C4" s="5"/>
      <c r="D4" s="5"/>
      <c r="E4" s="5"/>
      <c r="F4" s="5"/>
      <c r="G4" s="5"/>
    </row>
    <row r="5" customFormat="false" ht="15" hidden="false" customHeight="true" outlineLevel="0" collapsed="false">
      <c r="A5" s="6" t="s">
        <v>3</v>
      </c>
      <c r="B5" s="7" t="n">
        <f aca="false">B44</f>
        <v>62.19461888</v>
      </c>
      <c r="C5" s="8" t="s">
        <v>4</v>
      </c>
    </row>
    <row r="6" customFormat="false" ht="15" hidden="false" customHeight="true" outlineLevel="0" collapsed="false">
      <c r="A6" s="9" t="s">
        <v>5</v>
      </c>
      <c r="B6" s="10" t="n">
        <f aca="false">B33</f>
        <v>85.01887762432</v>
      </c>
      <c r="C6" s="8" t="s">
        <v>6</v>
      </c>
    </row>
    <row r="7" customFormat="false" ht="15" hidden="false" customHeight="true" outlineLevel="0" collapsed="false">
      <c r="A7" s="6" t="s">
        <v>7</v>
      </c>
      <c r="B7" s="11" t="str">
        <f aca="false">IF($B$33&lt;=0,"Enter a capacity override in Step 4",IF(B44&lt;=$B$33,"FITS","DOES NOT FIT — expect an out-of-memory error"))</f>
        <v>FITS</v>
      </c>
    </row>
    <row r="8" customFormat="false" ht="15" hidden="false" customHeight="true" outlineLevel="0" collapsed="false">
      <c r="A8" s="9" t="s">
        <v>8</v>
      </c>
      <c r="B8" s="10" t="n">
        <f aca="false">$B$33-B44</f>
        <v>22.82425874432</v>
      </c>
      <c r="C8" s="8" t="s">
        <v>9</v>
      </c>
    </row>
    <row r="9" customFormat="false" ht="15" hidden="false" customHeight="true" outlineLevel="0" collapsed="false">
      <c r="A9" s="9" t="s">
        <v>10</v>
      </c>
      <c r="B9" s="12" t="n">
        <f aca="false">IF($B$33&lt;=0,"",B44/$B$33)</f>
        <v>0.731538931327987</v>
      </c>
    </row>
    <row r="11" customFormat="false" ht="15" hidden="false" customHeight="true" outlineLevel="0" collapsed="false">
      <c r="A11" s="3" t="s">
        <v>11</v>
      </c>
    </row>
    <row r="13" customFormat="false" ht="15" hidden="false" customHeight="true" outlineLevel="0" collapsed="false">
      <c r="A13" s="4" t="s">
        <v>12</v>
      </c>
      <c r="B13" s="5"/>
      <c r="C13" s="5"/>
      <c r="D13" s="5"/>
      <c r="E13" s="5"/>
      <c r="F13" s="5"/>
      <c r="G13" s="5"/>
    </row>
    <row r="14" customFormat="false" ht="15" hidden="false" customHeight="true" outlineLevel="0" collapsed="false">
      <c r="A14" s="9" t="s">
        <v>13</v>
      </c>
      <c r="B14" s="13" t="s">
        <v>14</v>
      </c>
      <c r="C14" s="8" t="s">
        <v>15</v>
      </c>
    </row>
    <row r="15" customFormat="false" ht="15" hidden="false" customHeight="true" outlineLevel="0" collapsed="false">
      <c r="A15" s="9" t="s">
        <v>16</v>
      </c>
      <c r="B15" s="3" t="str">
        <f aca="false">"Hidden dimension "&amp;TEXT(E50,"#,##0")&amp;"   x   "&amp;TEXT(E51,"0")&amp;" layers   x   "&amp;TEXT(E52,"0")&amp;" attention heads   x   "&amp;TEXT(E53,"0")&amp;" feed-forward multiplier"&amp;"      (from preset — change it in ADVANCED below)"</f>
        <v>Hidden dimension 2,048   x   20 layers   x   16 attention heads   x   4 feed-forward multiplier      (from preset — change it in ADVANCED below)</v>
      </c>
    </row>
    <row r="16" customFormat="false" ht="15" hidden="false" customHeight="true" outlineLevel="0" collapsed="false">
      <c r="A16" s="9" t="s">
        <v>17</v>
      </c>
      <c r="B16" s="14" t="n">
        <f aca="false">E55</f>
        <v>1010728960</v>
      </c>
      <c r="C16" s="8" t="s">
        <v>18</v>
      </c>
    </row>
    <row r="18" customFormat="false" ht="15" hidden="false" customHeight="true" outlineLevel="0" collapsed="false">
      <c r="A18" s="4" t="s">
        <v>19</v>
      </c>
      <c r="B18" s="5"/>
      <c r="C18" s="5"/>
      <c r="D18" s="5"/>
      <c r="E18" s="5"/>
      <c r="F18" s="5"/>
      <c r="G18" s="5"/>
    </row>
    <row r="19" customFormat="false" ht="15" hidden="false" customHeight="true" outlineLevel="0" collapsed="false">
      <c r="A19" s="9" t="s">
        <v>20</v>
      </c>
      <c r="B19" s="15" t="n">
        <v>256</v>
      </c>
      <c r="C19" s="8" t="s">
        <v>21</v>
      </c>
    </row>
    <row r="20" customFormat="false" ht="15" hidden="false" customHeight="true" outlineLevel="0" collapsed="false">
      <c r="A20" s="9" t="s">
        <v>22</v>
      </c>
      <c r="B20" s="15" t="n">
        <v>100</v>
      </c>
      <c r="C20" s="8" t="s">
        <v>23</v>
      </c>
    </row>
    <row r="21" customFormat="false" ht="15" hidden="false" customHeight="true" outlineLevel="0" collapsed="false">
      <c r="A21" s="9" t="s">
        <v>24</v>
      </c>
      <c r="B21" s="13" t="s">
        <v>25</v>
      </c>
      <c r="C21" s="8" t="s">
        <v>26</v>
      </c>
    </row>
    <row r="23" customFormat="false" ht="15" hidden="false" customHeight="true" outlineLevel="0" collapsed="false">
      <c r="A23" s="4" t="s">
        <v>27</v>
      </c>
      <c r="B23" s="5"/>
      <c r="C23" s="5"/>
      <c r="D23" s="5"/>
      <c r="E23" s="5"/>
      <c r="F23" s="5"/>
      <c r="G23" s="5"/>
    </row>
    <row r="24" customFormat="false" ht="15" hidden="false" customHeight="true" outlineLevel="0" collapsed="false">
      <c r="A24" s="9" t="s">
        <v>28</v>
      </c>
      <c r="B24" s="13" t="s">
        <v>29</v>
      </c>
      <c r="C24" s="8" t="s">
        <v>30</v>
      </c>
    </row>
    <row r="25" customFormat="false" ht="15" hidden="false" customHeight="true" outlineLevel="0" collapsed="false">
      <c r="A25" s="9" t="s">
        <v>31</v>
      </c>
      <c r="B25" s="13" t="s">
        <v>32</v>
      </c>
      <c r="C25" s="8" t="s">
        <v>33</v>
      </c>
    </row>
    <row r="26" customFormat="false" ht="15" hidden="false" customHeight="true" outlineLevel="0" collapsed="false">
      <c r="A26" s="9" t="s">
        <v>34</v>
      </c>
      <c r="B26" s="13" t="s">
        <v>35</v>
      </c>
      <c r="C26" s="8" t="s">
        <v>36</v>
      </c>
    </row>
    <row r="27" customFormat="false" ht="15" hidden="false" customHeight="true" outlineLevel="0" collapsed="false">
      <c r="A27" s="16" t="s">
        <v>37</v>
      </c>
    </row>
    <row r="29" customFormat="false" ht="15" hidden="false" customHeight="true" outlineLevel="0" collapsed="false">
      <c r="A29" s="4" t="s">
        <v>38</v>
      </c>
      <c r="B29" s="5"/>
      <c r="C29" s="5"/>
      <c r="D29" s="5"/>
      <c r="E29" s="5"/>
      <c r="F29" s="5"/>
      <c r="G29" s="5"/>
    </row>
    <row r="30" customFormat="false" ht="15" hidden="false" customHeight="true" outlineLevel="0" collapsed="false">
      <c r="A30" s="9" t="s">
        <v>39</v>
      </c>
      <c r="B30" s="13" t="s">
        <v>40</v>
      </c>
      <c r="C30" s="8" t="s">
        <v>41</v>
      </c>
    </row>
    <row r="31" customFormat="false" ht="15" hidden="false" customHeight="true" outlineLevel="0" collapsed="false">
      <c r="A31" s="9" t="s">
        <v>42</v>
      </c>
      <c r="B31" s="17" t="n">
        <f aca="false">INDEX('GPU Capacity'!$C$5:$C$16,MATCH($B$30,'GPU Capacity'!$A$5:$A$16,0))</f>
        <v>85.01887762432</v>
      </c>
      <c r="C31" s="8" t="s">
        <v>43</v>
      </c>
    </row>
    <row r="32" customFormat="false" ht="15" hidden="false" customHeight="true" outlineLevel="0" collapsed="false">
      <c r="A32" s="9" t="s">
        <v>44</v>
      </c>
      <c r="B32" s="18"/>
      <c r="C32" s="8" t="s">
        <v>45</v>
      </c>
    </row>
    <row r="33" customFormat="false" ht="15" hidden="false" customHeight="true" outlineLevel="0" collapsed="false">
      <c r="A33" s="9" t="s">
        <v>46</v>
      </c>
      <c r="B33" s="19" t="n">
        <f aca="false">IF(B32="",B31,B32)</f>
        <v>85.01887762432</v>
      </c>
    </row>
    <row r="35" customFormat="false" ht="15" hidden="false" customHeight="true" outlineLevel="0" collapsed="false">
      <c r="A35" s="4" t="s">
        <v>47</v>
      </c>
      <c r="B35" s="5"/>
      <c r="C35" s="5"/>
      <c r="D35" s="5"/>
      <c r="E35" s="5"/>
      <c r="F35" s="5"/>
      <c r="G35" s="5"/>
    </row>
    <row r="36" customFormat="false" ht="15" hidden="false" customHeight="true" outlineLevel="0" collapsed="false">
      <c r="A36" s="20" t="s">
        <v>48</v>
      </c>
      <c r="B36" s="20" t="s">
        <v>49</v>
      </c>
    </row>
    <row r="37" customFormat="false" ht="15" hidden="false" customHeight="true" outlineLevel="0" collapsed="false">
      <c r="A37" s="9" t="s">
        <v>50</v>
      </c>
      <c r="B37" s="10" t="n">
        <f aca="false">E55*4/1000000000</f>
        <v>4.04291584</v>
      </c>
      <c r="C37" s="8" t="s">
        <v>51</v>
      </c>
    </row>
    <row r="38" customFormat="false" ht="15" hidden="false" customHeight="true" outlineLevel="0" collapsed="false">
      <c r="A38" s="9" t="s">
        <v>52</v>
      </c>
      <c r="B38" s="10" t="n">
        <f aca="false">E55*4/1000000000</f>
        <v>4.04291584</v>
      </c>
      <c r="C38" s="8" t="s">
        <v>53</v>
      </c>
    </row>
    <row r="39" customFormat="false" ht="15" hidden="false" customHeight="true" outlineLevel="0" collapsed="false">
      <c r="A39" s="9" t="s">
        <v>54</v>
      </c>
      <c r="B39" s="10" t="n">
        <f aca="false">E55*$B$65/1000000000</f>
        <v>8.08583168</v>
      </c>
      <c r="C39" s="8" t="s">
        <v>55</v>
      </c>
    </row>
    <row r="40" customFormat="false" ht="15" hidden="false" customHeight="true" outlineLevel="0" collapsed="false">
      <c r="A40" s="9" t="s">
        <v>56</v>
      </c>
      <c r="B40" s="10" t="n">
        <f aca="false">IF($B$25="On",$B$75,$B$74)/1000000000</f>
        <v>42.2014976</v>
      </c>
      <c r="C40" s="8" t="s">
        <v>57</v>
      </c>
    </row>
    <row r="41" customFormat="false" ht="15" hidden="false" customHeight="true" outlineLevel="0" collapsed="false">
      <c r="A41" s="9" t="s">
        <v>58</v>
      </c>
      <c r="B41" s="21" t="n">
        <f aca="false">IF(OR($B$21="BF16 mixed precision",$B$21="FP16 mixed precision"),E55*2,0)/1000000000</f>
        <v>2.02145792</v>
      </c>
      <c r="C41" s="8" t="s">
        <v>59</v>
      </c>
    </row>
    <row r="42" customFormat="false" ht="15" hidden="false" customHeight="true" outlineLevel="0" collapsed="false">
      <c r="A42" s="22" t="s">
        <v>60</v>
      </c>
      <c r="B42" s="23" t="n">
        <f aca="false">IF($B$25="On",MAX(B76,B77,B78),B37+B38+B39+B40+B41)</f>
        <v>60.39461888</v>
      </c>
    </row>
    <row r="43" customFormat="false" ht="15" hidden="false" customHeight="true" outlineLevel="0" collapsed="false">
      <c r="A43" s="9" t="s">
        <v>61</v>
      </c>
      <c r="B43" s="10" t="n">
        <f aca="false">$B$59+IF($B$25="On",$B$61,$B$60)</f>
        <v>1.8</v>
      </c>
    </row>
    <row r="44" customFormat="false" ht="15" hidden="false" customHeight="true" outlineLevel="0" collapsed="false">
      <c r="A44" s="22" t="s">
        <v>62</v>
      </c>
      <c r="B44" s="23" t="n">
        <f aca="false">B42+B43</f>
        <v>62.19461888</v>
      </c>
    </row>
    <row r="45" customFormat="false" ht="15" hidden="false" customHeight="true" outlineLevel="0" collapsed="false">
      <c r="A45" s="9" t="s">
        <v>63</v>
      </c>
      <c r="B45" s="9" t="str">
        <f aca="false">IF($B$25="Off","Not applicable — activation checkpointing is off; peak is the sum of all line items",IF($B$42=B76,"Backward pass, recomputing",IF($B$42=B77,"Optimizer step","Forward pass")))</f>
        <v>Not applicable — activation checkpointing is off; peak is the sum of all line items</v>
      </c>
      <c r="C45" s="8" t="s">
        <v>64</v>
      </c>
    </row>
    <row r="47" customFormat="false" ht="15" hidden="false" customHeight="true" outlineLevel="0" collapsed="false">
      <c r="A47" s="4" t="s">
        <v>65</v>
      </c>
      <c r="B47" s="5"/>
      <c r="C47" s="5"/>
      <c r="D47" s="5"/>
      <c r="E47" s="5"/>
      <c r="F47" s="5"/>
      <c r="G47" s="5"/>
    </row>
    <row r="48" customFormat="false" ht="15" hidden="true" customHeight="true" outlineLevel="1" collapsed="false">
      <c r="A48" s="24" t="s">
        <v>66</v>
      </c>
      <c r="B48" s="25"/>
      <c r="C48" s="25"/>
      <c r="D48" s="25"/>
      <c r="E48" s="25"/>
    </row>
    <row r="49" customFormat="false" ht="15" hidden="true" customHeight="true" outlineLevel="1" collapsed="false">
      <c r="C49" s="26" t="s">
        <v>67</v>
      </c>
      <c r="D49" s="26" t="s">
        <v>68</v>
      </c>
      <c r="E49" s="26" t="s">
        <v>69</v>
      </c>
    </row>
    <row r="50" customFormat="false" ht="15" hidden="true" customHeight="true" outlineLevel="1" collapsed="false">
      <c r="A50" s="9" t="s">
        <v>70</v>
      </c>
      <c r="C50" s="27" t="n">
        <f aca="false">INDEX('Model Presets'!$B$5:$B$13,MATCH($B$14,'Model Presets'!$A$5:$A$13,0))</f>
        <v>2048</v>
      </c>
      <c r="D50" s="15"/>
      <c r="E50" s="14" t="n">
        <f aca="false">IF(D50="",C50,D50)</f>
        <v>2048</v>
      </c>
    </row>
    <row r="51" customFormat="false" ht="15" hidden="true" customHeight="true" outlineLevel="1" collapsed="false">
      <c r="A51" s="9" t="s">
        <v>71</v>
      </c>
      <c r="C51" s="27" t="n">
        <f aca="false">INDEX('Model Presets'!$C$5:$C$13,MATCH($B$14,'Model Presets'!$A$5:$A$13,0))</f>
        <v>20</v>
      </c>
      <c r="D51" s="15"/>
      <c r="E51" s="14" t="n">
        <f aca="false">IF(D51="",C51,D51)</f>
        <v>20</v>
      </c>
    </row>
    <row r="52" customFormat="false" ht="15" hidden="true" customHeight="true" outlineLevel="1" collapsed="false">
      <c r="A52" s="9" t="s">
        <v>72</v>
      </c>
      <c r="C52" s="27" t="n">
        <f aca="false">INDEX('Model Presets'!$D$5:$D$13,MATCH($B$14,'Model Presets'!$A$5:$A$13,0))</f>
        <v>16</v>
      </c>
      <c r="D52" s="15"/>
      <c r="E52" s="14" t="n">
        <f aca="false">IF(D52="",C52,D52)</f>
        <v>16</v>
      </c>
    </row>
    <row r="53" customFormat="false" ht="15" hidden="true" customHeight="true" outlineLevel="1" collapsed="false">
      <c r="A53" s="9" t="s">
        <v>73</v>
      </c>
      <c r="C53" s="27" t="n">
        <f aca="false">INDEX('Model Presets'!$E$5:$E$13,MATCH($B$14,'Model Presets'!$A$5:$A$13,0))</f>
        <v>4</v>
      </c>
      <c r="D53" s="15"/>
      <c r="E53" s="14" t="n">
        <f aca="false">IF(D53="",C53,D53)</f>
        <v>4</v>
      </c>
    </row>
    <row r="54" customFormat="false" ht="15" hidden="true" customHeight="true" outlineLevel="1" collapsed="false">
      <c r="A54" s="9" t="s">
        <v>74</v>
      </c>
      <c r="C54" s="27" t="n">
        <f aca="false">INDEX('Model Presets'!$F$5:$F$13,MATCH($B$14,'Model Presets'!$A$5:$A$13,0))</f>
        <v>1000</v>
      </c>
      <c r="D54" s="15"/>
      <c r="E54" s="14" t="n">
        <f aca="false">IF(D54="",C54,D54)</f>
        <v>1000</v>
      </c>
    </row>
    <row r="55" customFormat="false" ht="15" hidden="true" customHeight="true" outlineLevel="1" collapsed="false">
      <c r="A55" s="9" t="s">
        <v>75</v>
      </c>
      <c r="C55" s="14" t="n">
        <f aca="false">(4+2*E53)*E50^2*E51+2*E54*E50</f>
        <v>1010728960</v>
      </c>
      <c r="D55" s="15"/>
      <c r="E55" s="28" t="n">
        <f aca="false">IF(D55="",C55,D55)</f>
        <v>1010728960</v>
      </c>
      <c r="G55" s="8" t="s">
        <v>76</v>
      </c>
    </row>
    <row r="56" customFormat="false" ht="15" hidden="true" customHeight="true" outlineLevel="1" collapsed="false">
      <c r="A56" s="16" t="s">
        <v>77</v>
      </c>
    </row>
    <row r="57" customFormat="false" ht="15" hidden="true" customHeight="true" outlineLevel="1" collapsed="false"/>
    <row r="58" customFormat="false" ht="15" hidden="true" customHeight="true" outlineLevel="1" collapsed="false">
      <c r="A58" s="24" t="s">
        <v>78</v>
      </c>
      <c r="B58" s="25"/>
      <c r="C58" s="25"/>
      <c r="D58" s="25"/>
      <c r="E58" s="25"/>
    </row>
    <row r="59" customFormat="false" ht="15" hidden="true" customHeight="true" outlineLevel="1" collapsed="false">
      <c r="A59" s="9" t="s">
        <v>79</v>
      </c>
      <c r="B59" s="18" t="n">
        <v>0.6</v>
      </c>
      <c r="C59" s="8" t="s">
        <v>80</v>
      </c>
    </row>
    <row r="60" customFormat="false" ht="15" hidden="true" customHeight="true" outlineLevel="1" collapsed="false">
      <c r="A60" s="9" t="s">
        <v>81</v>
      </c>
      <c r="B60" s="18" t="n">
        <v>1.2</v>
      </c>
      <c r="C60" s="8" t="s">
        <v>82</v>
      </c>
    </row>
    <row r="61" customFormat="false" ht="15" hidden="true" customHeight="true" outlineLevel="1" collapsed="false">
      <c r="A61" s="9" t="s">
        <v>83</v>
      </c>
      <c r="B61" s="18" t="n">
        <v>5.2</v>
      </c>
      <c r="C61" s="8" t="s">
        <v>84</v>
      </c>
    </row>
    <row r="62" customFormat="false" ht="15" hidden="true" customHeight="true" outlineLevel="1" collapsed="false"/>
    <row r="63" customFormat="false" ht="15" hidden="true" customHeight="true" outlineLevel="1" collapsed="false">
      <c r="A63" s="24" t="s">
        <v>85</v>
      </c>
      <c r="B63" s="25"/>
      <c r="C63" s="25"/>
      <c r="D63" s="25"/>
      <c r="E63" s="25"/>
    </row>
    <row r="64" customFormat="false" ht="15" hidden="true" customHeight="true" outlineLevel="1" collapsed="false">
      <c r="A64" s="9" t="s">
        <v>86</v>
      </c>
      <c r="B64" s="14" t="n">
        <f aca="false">IF(OR($B$21="BF16 mixed precision",$B$21="FP16 mixed precision"),2,4)</f>
        <v>2</v>
      </c>
      <c r="C64" s="8" t="s">
        <v>87</v>
      </c>
    </row>
    <row r="65" customFormat="false" ht="15" hidden="true" customHeight="true" outlineLevel="1" collapsed="false">
      <c r="A65" s="9" t="s">
        <v>88</v>
      </c>
      <c r="B65" s="14" t="n">
        <f aca="false">IF($B$24="8-bit Adam",2,8)</f>
        <v>8</v>
      </c>
      <c r="C65" s="8" t="s">
        <v>89</v>
      </c>
    </row>
    <row r="67" customFormat="false" ht="15" hidden="false" customHeight="true" outlineLevel="0" collapsed="false">
      <c r="A67" s="4" t="s">
        <v>90</v>
      </c>
      <c r="B67" s="5"/>
      <c r="C67" s="5"/>
      <c r="D67" s="5"/>
      <c r="E67" s="5"/>
      <c r="F67" s="5"/>
      <c r="G67" s="5"/>
    </row>
    <row r="68" customFormat="false" ht="15" hidden="true" customHeight="true" outlineLevel="1" collapsed="false">
      <c r="A68" s="20" t="s">
        <v>91</v>
      </c>
      <c r="B68" s="20" t="s">
        <v>92</v>
      </c>
      <c r="C68" s="20" t="s">
        <v>93</v>
      </c>
    </row>
    <row r="69" customFormat="false" ht="15" hidden="true" customHeight="true" outlineLevel="1" collapsed="false">
      <c r="A69" s="9" t="s">
        <v>94</v>
      </c>
      <c r="B69" s="14" t="n">
        <f aca="false">$B$19*$B$20*E50</f>
        <v>52428800</v>
      </c>
      <c r="C69" s="16" t="s">
        <v>95</v>
      </c>
    </row>
    <row r="70" customFormat="false" ht="15" hidden="true" customHeight="true" outlineLevel="1" collapsed="false">
      <c r="A70" s="9" t="s">
        <v>96</v>
      </c>
      <c r="B70" s="14" t="n">
        <f aca="false">$B$19*$B$20*E53*E50</f>
        <v>209715200</v>
      </c>
      <c r="C70" s="16" t="s">
        <v>95</v>
      </c>
    </row>
    <row r="71" customFormat="false" ht="15" hidden="true" customHeight="true" outlineLevel="1" collapsed="false">
      <c r="A71" s="9" t="s">
        <v>97</v>
      </c>
      <c r="B71" s="14" t="n">
        <f aca="false">IF(LEFT($B$26,8)="Standard",$B$19*E52*$B$20*$B$20,0)</f>
        <v>0</v>
      </c>
      <c r="C71" s="16" t="s">
        <v>95</v>
      </c>
      <c r="D71" s="8" t="s">
        <v>98</v>
      </c>
    </row>
    <row r="72" customFormat="false" ht="15" hidden="true" customHeight="true" outlineLevel="1" collapsed="false">
      <c r="A72" s="9" t="s">
        <v>99</v>
      </c>
      <c r="B72" s="14" t="n">
        <f aca="false">9*$B$69*$B$64+2*$B$70*$B$64+2*$B$69+$B$70+$B$71*$B$64</f>
        <v>2097152000</v>
      </c>
      <c r="C72" s="16" t="s">
        <v>100</v>
      </c>
      <c r="D72" s="8" t="s">
        <v>101</v>
      </c>
    </row>
    <row r="73" customFormat="false" ht="15" hidden="true" customHeight="true" outlineLevel="1" collapsed="false">
      <c r="A73" s="9" t="s">
        <v>102</v>
      </c>
      <c r="B73" s="14" t="n">
        <f aca="false">$B$69*$B$64+$B$19*$B$20*E54*$B$64+IF(OR($B$21="BF16 mixed precision",$B$21="FP16 mixed precision"),$B$19*$B$20*E54*4,0)</f>
        <v>258457600</v>
      </c>
      <c r="C73" s="16" t="s">
        <v>100</v>
      </c>
      <c r="D73" s="8" t="s">
        <v>103</v>
      </c>
    </row>
    <row r="74" customFormat="false" ht="15" hidden="true" customHeight="true" outlineLevel="1" collapsed="false">
      <c r="A74" s="9" t="s">
        <v>104</v>
      </c>
      <c r="B74" s="14" t="n">
        <f aca="false">$B$72*E51+$B$73</f>
        <v>42201497600</v>
      </c>
      <c r="C74" s="16" t="s">
        <v>100</v>
      </c>
    </row>
    <row r="75" customFormat="false" ht="15" hidden="true" customHeight="true" outlineLevel="1" collapsed="false">
      <c r="A75" s="9" t="s">
        <v>105</v>
      </c>
      <c r="B75" s="14" t="n">
        <f aca="false">(E51+3)*$B$69*4+7*$B$69*$B$64+3*$B$70*$B$64+$B$69+$B$19*$B$20*E54*$B$64+IF(LEFT($B$26,8)="Standard",$B$71*$B$64,0)</f>
        <v>6919372800</v>
      </c>
      <c r="C75" s="16" t="s">
        <v>100</v>
      </c>
      <c r="D75" s="8" t="s">
        <v>106</v>
      </c>
    </row>
    <row r="76" customFormat="false" ht="15" hidden="true" customHeight="true" outlineLevel="1" collapsed="false">
      <c r="A76" s="9" t="s">
        <v>107</v>
      </c>
      <c r="B76" s="19" t="n">
        <f aca="false">B37+B39+$B$75/1000000000</f>
        <v>19.04812032</v>
      </c>
      <c r="C76" s="16" t="s">
        <v>108</v>
      </c>
      <c r="D76" s="8" t="s">
        <v>109</v>
      </c>
    </row>
    <row r="77" customFormat="false" ht="15" hidden="true" customHeight="true" outlineLevel="1" collapsed="false">
      <c r="A77" s="9" t="s">
        <v>110</v>
      </c>
      <c r="B77" s="19" t="n">
        <f aca="false">B37+B38+B39+IF($B$24="Standard Adam",B38,0)</f>
        <v>20.2145792</v>
      </c>
      <c r="C77" s="16" t="s">
        <v>108</v>
      </c>
      <c r="D77" s="8" t="s">
        <v>111</v>
      </c>
    </row>
    <row r="78" customFormat="false" ht="15" hidden="true" customHeight="true" outlineLevel="1" collapsed="false">
      <c r="A78" s="9" t="s">
        <v>112</v>
      </c>
      <c r="B78" s="19" t="n">
        <f aca="false">B37+B39+B41+E51*$B$69*4/1000000000+$B$79/1000000000+($B$19*$B$20*E54*$B$64+IF(OR($B$21="BF16 mixed precision",$B$21="FP16 mixed precision"),$B$19*$B$20*E54*4,0))/1000000000</f>
        <v>19.65154304</v>
      </c>
      <c r="C78" s="16" t="s">
        <v>108</v>
      </c>
    </row>
    <row r="79" customFormat="false" ht="15" hidden="true" customHeight="true" outlineLevel="1" collapsed="false">
      <c r="A79" s="9" t="s">
        <v>113</v>
      </c>
      <c r="B79" s="14" t="n">
        <f aca="false">(2*E53*E50+3*E50)*$B$19*$B$20*$B$64</f>
        <v>1153433600</v>
      </c>
      <c r="C79" s="16" t="s">
        <v>100</v>
      </c>
    </row>
    <row r="80" customFormat="false" ht="15" hidden="true" customHeight="true" outlineLevel="1" collapsed="false">
      <c r="A80" s="9" t="s">
        <v>114</v>
      </c>
      <c r="B80" s="14" t="n">
        <f aca="false">$B$72/$B$69</f>
        <v>40</v>
      </c>
      <c r="C80" s="16" t="s">
        <v>115</v>
      </c>
      <c r="D80" s="8" t="s">
        <v>116</v>
      </c>
    </row>
    <row r="82" customFormat="false" ht="15" hidden="false" customHeight="true" outlineLevel="0" collapsed="false">
      <c r="A82" s="16" t="s">
        <v>117</v>
      </c>
    </row>
    <row r="83" customFormat="false" ht="15" hidden="false" customHeight="true" outlineLevel="0" collapsed="false">
      <c r="A83" s="16" t="s">
        <v>118</v>
      </c>
    </row>
  </sheetData>
  <conditionalFormatting sqref="B7">
    <cfRule type="expression" priority="2" aboveAverage="0" equalAverage="0" bottom="0" percent="0" rank="0" text="" dxfId="0">
      <formula>LEFT($B$7,4)="FITS"</formula>
    </cfRule>
    <cfRule type="expression" priority="3" aboveAverage="0" equalAverage="0" bottom="0" percent="0" rank="0" text="" dxfId="1">
      <formula>LEFT($B$7,4)="DOES"</formula>
    </cfRule>
  </conditionalFormatting>
  <dataValidations count="6">
    <dataValidation allowBlank="false" errorStyle="stop" operator="between" showDropDown="false" showErrorMessage="false" showInputMessage="false" sqref="B14" type="list">
      <formula1>'Model Presets'!$A$5:$A$13</formula1>
      <formula2>0</formula2>
    </dataValidation>
    <dataValidation allowBlank="false" errorStyle="stop" operator="between" showDropDown="false" showErrorMessage="false" showInputMessage="false" sqref="B21" type="list">
      <formula1>"BF16 mixed precision,FP16 mixed precision,FP32 full precision"</formula1>
      <formula2>0</formula2>
    </dataValidation>
    <dataValidation allowBlank="false" errorStyle="stop" operator="between" showDropDown="false" showErrorMessage="false" showInputMessage="false" sqref="B24" type="list">
      <formula1>"Standard Adam,8-bit Adam"</formula1>
      <formula2>0</formula2>
    </dataValidation>
    <dataValidation allowBlank="false" errorStyle="stop" operator="between" showDropDown="false" showErrorMessage="false" showInputMessage="false" sqref="B25" type="list">
      <formula1>"On,Off"</formula1>
      <formula2>0</formula2>
    </dataValidation>
    <dataValidation allowBlank="false" errorStyle="stop" operator="between" showDropDown="false" showErrorMessage="false" showInputMessage="false" sqref="B26" type="list">
      <formula1>"Memory-efficient (PyTorch SDPA or FlashAttention),Standard (stores the full attention matrix)"</formula1>
      <formula2>0</formula2>
    </dataValidation>
    <dataValidation allowBlank="false" errorStyle="stop" operator="between" showDropDown="false" showErrorMessage="false" showInputMessage="false" sqref="B30" type="list">
      <formula1>'GPU Capacity'!$A$5:$A$16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6"/>
    <col collapsed="false" customWidth="true" hidden="false" outlineLevel="0" max="3" min="3" style="1" width="10"/>
    <col collapsed="false" customWidth="true" hidden="false" outlineLevel="0" max="4" min="4" style="1" width="14"/>
    <col collapsed="false" customWidth="true" hidden="false" outlineLevel="0" max="5" min="5" style="1" width="18"/>
    <col collapsed="false" customWidth="true" hidden="false" outlineLevel="0" max="6" min="6" style="1" width="20"/>
    <col collapsed="false" customWidth="true" hidden="false" outlineLevel="0" max="7" min="7" style="1" width="22"/>
    <col collapsed="false" customWidth="true" hidden="false" outlineLevel="0" max="8" min="8" style="1" width="46"/>
  </cols>
  <sheetData>
    <row r="1" customFormat="false" ht="15.75" hidden="false" customHeight="true" outlineLevel="0" collapsed="false">
      <c r="A1" s="29" t="s">
        <v>119</v>
      </c>
    </row>
    <row r="2" customFormat="false" ht="15" hidden="false" customHeight="true" outlineLevel="0" collapsed="false">
      <c r="A2" s="16" t="s">
        <v>120</v>
      </c>
    </row>
    <row r="4" customFormat="false" ht="23.25" hidden="false" customHeight="true" outlineLevel="0" collapsed="false">
      <c r="A4" s="30" t="s">
        <v>121</v>
      </c>
      <c r="B4" s="30" t="s">
        <v>122</v>
      </c>
      <c r="C4" s="30" t="s">
        <v>123</v>
      </c>
      <c r="D4" s="30" t="s">
        <v>124</v>
      </c>
      <c r="E4" s="30" t="s">
        <v>125</v>
      </c>
      <c r="F4" s="30" t="s">
        <v>126</v>
      </c>
      <c r="G4" s="30" t="s">
        <v>127</v>
      </c>
      <c r="H4" s="30" t="s">
        <v>128</v>
      </c>
    </row>
    <row r="5" customFormat="false" ht="15" hidden="false" customHeight="true" outlineLevel="0" collapsed="false">
      <c r="A5" s="31" t="s">
        <v>14</v>
      </c>
      <c r="B5" s="32" t="n">
        <v>2048</v>
      </c>
      <c r="C5" s="32" t="n">
        <v>20</v>
      </c>
      <c r="D5" s="32" t="n">
        <v>16</v>
      </c>
      <c r="E5" s="32" t="n">
        <v>4</v>
      </c>
      <c r="F5" s="32" t="n">
        <v>1000</v>
      </c>
      <c r="G5" s="32" t="n">
        <f aca="false">(4+2*E5)*B5^2*C5+2*F5*B5</f>
        <v>1010728960</v>
      </c>
      <c r="H5" s="33" t="s">
        <v>129</v>
      </c>
    </row>
    <row r="6" customFormat="false" ht="15" hidden="false" customHeight="true" outlineLevel="0" collapsed="false">
      <c r="A6" s="31" t="s">
        <v>130</v>
      </c>
      <c r="B6" s="32" t="n">
        <v>768</v>
      </c>
      <c r="C6" s="32" t="n">
        <v>12</v>
      </c>
      <c r="D6" s="32" t="n">
        <v>12</v>
      </c>
      <c r="E6" s="32" t="n">
        <v>4</v>
      </c>
      <c r="F6" s="32" t="n">
        <v>32000</v>
      </c>
      <c r="G6" s="32" t="n">
        <f aca="false">(4+2*E6)*B6^2*C6+2*F6*B6</f>
        <v>134086656</v>
      </c>
      <c r="H6" s="33" t="s">
        <v>131</v>
      </c>
    </row>
    <row r="7" customFormat="false" ht="15" hidden="false" customHeight="true" outlineLevel="0" collapsed="false">
      <c r="A7" s="31" t="s">
        <v>132</v>
      </c>
      <c r="B7" s="32" t="n">
        <v>1024</v>
      </c>
      <c r="C7" s="32" t="n">
        <v>24</v>
      </c>
      <c r="D7" s="32" t="n">
        <v>16</v>
      </c>
      <c r="E7" s="32" t="n">
        <v>4</v>
      </c>
      <c r="F7" s="32" t="n">
        <v>32000</v>
      </c>
      <c r="G7" s="32" t="n">
        <f aca="false">(4+2*E7)*B7^2*C7+2*F7*B7</f>
        <v>367525888</v>
      </c>
      <c r="H7" s="33" t="s">
        <v>131</v>
      </c>
    </row>
    <row r="8" customFormat="false" ht="15" hidden="false" customHeight="true" outlineLevel="0" collapsed="false">
      <c r="A8" s="31" t="s">
        <v>133</v>
      </c>
      <c r="B8" s="32" t="n">
        <v>2048</v>
      </c>
      <c r="C8" s="32" t="n">
        <v>18</v>
      </c>
      <c r="D8" s="32" t="n">
        <v>16</v>
      </c>
      <c r="E8" s="32" t="n">
        <v>4</v>
      </c>
      <c r="F8" s="32" t="n">
        <v>32000</v>
      </c>
      <c r="G8" s="32" t="n">
        <f aca="false">(4+2*E8)*B8^2*C8+2*F8*B8</f>
        <v>1037041664</v>
      </c>
      <c r="H8" s="33" t="s">
        <v>131</v>
      </c>
    </row>
    <row r="9" customFormat="false" ht="15" hidden="false" customHeight="true" outlineLevel="0" collapsed="false">
      <c r="A9" s="31" t="s">
        <v>134</v>
      </c>
      <c r="B9" s="32" t="n">
        <v>2560</v>
      </c>
      <c r="C9" s="32" t="n">
        <v>32</v>
      </c>
      <c r="D9" s="32" t="n">
        <v>20</v>
      </c>
      <c r="E9" s="32" t="n">
        <v>4</v>
      </c>
      <c r="F9" s="32" t="n">
        <v>32000</v>
      </c>
      <c r="G9" s="32" t="n">
        <f aca="false">(4+2*E9)*B9^2*C9+2*F9*B9</f>
        <v>2680422400</v>
      </c>
      <c r="H9" s="33" t="s">
        <v>131</v>
      </c>
    </row>
    <row r="10" customFormat="false" ht="15" hidden="false" customHeight="true" outlineLevel="0" collapsed="false">
      <c r="A10" s="31" t="s">
        <v>135</v>
      </c>
      <c r="B10" s="32" t="n">
        <v>4096</v>
      </c>
      <c r="C10" s="32" t="n">
        <v>32</v>
      </c>
      <c r="D10" s="32" t="n">
        <v>32</v>
      </c>
      <c r="E10" s="32" t="n">
        <v>4</v>
      </c>
      <c r="F10" s="32" t="n">
        <v>32000</v>
      </c>
      <c r="G10" s="32" t="n">
        <f aca="false">(4+2*E10)*B10^2*C10+2*F10*B10</f>
        <v>6704594944</v>
      </c>
      <c r="H10" s="33" t="s">
        <v>131</v>
      </c>
    </row>
    <row r="11" customFormat="false" ht="15" hidden="false" customHeight="true" outlineLevel="0" collapsed="false">
      <c r="A11" s="31" t="s">
        <v>136</v>
      </c>
      <c r="B11" s="32" t="n">
        <v>5120</v>
      </c>
      <c r="C11" s="32" t="n">
        <v>40</v>
      </c>
      <c r="D11" s="32" t="n">
        <v>40</v>
      </c>
      <c r="E11" s="32" t="n">
        <v>4</v>
      </c>
      <c r="F11" s="32" t="n">
        <v>32000</v>
      </c>
      <c r="G11" s="32" t="n">
        <f aca="false">(4+2*E11)*B11^2*C11+2*F11*B11</f>
        <v>12910592000</v>
      </c>
      <c r="H11" s="33" t="s">
        <v>131</v>
      </c>
    </row>
    <row r="12" customFormat="false" ht="15" hidden="false" customHeight="true" outlineLevel="0" collapsed="false">
      <c r="A12" s="31" t="s">
        <v>137</v>
      </c>
      <c r="B12" s="32" t="n">
        <v>6656</v>
      </c>
      <c r="C12" s="32" t="n">
        <v>60</v>
      </c>
      <c r="D12" s="32" t="n">
        <v>52</v>
      </c>
      <c r="E12" s="32" t="n">
        <v>4</v>
      </c>
      <c r="F12" s="32" t="n">
        <v>32000</v>
      </c>
      <c r="G12" s="32" t="n">
        <f aca="false">(4+2*E12)*B12^2*C12+2*F12*B12</f>
        <v>32323665920</v>
      </c>
      <c r="H12" s="33" t="s">
        <v>131</v>
      </c>
    </row>
    <row r="13" customFormat="false" ht="15" hidden="false" customHeight="true" outlineLevel="0" collapsed="false">
      <c r="A13" s="31" t="s">
        <v>138</v>
      </c>
      <c r="B13" s="32" t="n">
        <v>8192</v>
      </c>
      <c r="C13" s="32" t="n">
        <v>80</v>
      </c>
      <c r="D13" s="32" t="n">
        <v>64</v>
      </c>
      <c r="E13" s="32" t="n">
        <v>4</v>
      </c>
      <c r="F13" s="32" t="n">
        <v>32000</v>
      </c>
      <c r="G13" s="32" t="n">
        <f aca="false">(4+2*E13)*B13^2*C13+2*F13*B13</f>
        <v>64948797440</v>
      </c>
      <c r="H13" s="33" t="s">
        <v>131</v>
      </c>
    </row>
    <row r="15" customFormat="false" ht="15" hidden="false" customHeight="true" outlineLevel="0" collapsed="false">
      <c r="A15" s="34" t="s">
        <v>139</v>
      </c>
      <c r="B15" s="34"/>
      <c r="C15" s="34"/>
      <c r="D15" s="34"/>
      <c r="E15" s="34"/>
      <c r="F15" s="34"/>
      <c r="G15" s="34"/>
      <c r="H15" s="34"/>
    </row>
    <row r="16" customFormat="false" ht="15" hidden="false" customHeight="true" outlineLevel="0" collapsed="false">
      <c r="A16" s="34"/>
      <c r="B16" s="34"/>
      <c r="C16" s="34"/>
      <c r="D16" s="34"/>
      <c r="E16" s="34"/>
      <c r="F16" s="34"/>
      <c r="G16" s="34"/>
      <c r="H16" s="34"/>
    </row>
    <row r="17" customFormat="false" ht="15" hidden="false" customHeight="true" outlineLevel="0" collapsed="false">
      <c r="A17" s="34"/>
      <c r="B17" s="34"/>
      <c r="C17" s="34"/>
      <c r="D17" s="34"/>
      <c r="E17" s="34"/>
      <c r="F17" s="34"/>
      <c r="G17" s="34"/>
      <c r="H17" s="34"/>
    </row>
  </sheetData>
  <mergeCells count="1">
    <mergeCell ref="A15:H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20"/>
    <col collapsed="false" customWidth="true" hidden="false" outlineLevel="0" max="3" min="3" style="1" width="26"/>
    <col collapsed="false" customWidth="true" hidden="false" outlineLevel="0" max="4" min="4" style="1" width="62"/>
  </cols>
  <sheetData>
    <row r="1" customFormat="false" ht="15.75" hidden="false" customHeight="true" outlineLevel="0" collapsed="false">
      <c r="A1" s="29" t="s">
        <v>140</v>
      </c>
    </row>
    <row r="2" customFormat="false" ht="15" hidden="false" customHeight="true" outlineLevel="0" collapsed="false">
      <c r="A2" s="16" t="s">
        <v>141</v>
      </c>
    </row>
    <row r="4" customFormat="false" ht="23.25" hidden="false" customHeight="true" outlineLevel="0" collapsed="false">
      <c r="A4" s="30" t="s">
        <v>39</v>
      </c>
      <c r="B4" s="30" t="s">
        <v>142</v>
      </c>
      <c r="C4" s="30" t="s">
        <v>143</v>
      </c>
      <c r="D4" s="30" t="s">
        <v>144</v>
      </c>
    </row>
    <row r="5" customFormat="false" ht="15" hidden="false" customHeight="true" outlineLevel="0" collapsed="false">
      <c r="A5" s="31" t="s">
        <v>40</v>
      </c>
      <c r="B5" s="32" t="n">
        <v>80</v>
      </c>
      <c r="C5" s="35" t="n">
        <f aca="false">79.18*1024^3/1000000000</f>
        <v>85.01887762432</v>
      </c>
      <c r="D5" s="33" t="s">
        <v>145</v>
      </c>
    </row>
    <row r="6" customFormat="false" ht="15" hidden="false" customHeight="true" outlineLevel="0" collapsed="false">
      <c r="A6" s="31" t="s">
        <v>146</v>
      </c>
      <c r="B6" s="32" t="n">
        <v>80</v>
      </c>
      <c r="C6" s="35" t="n">
        <f aca="false">79.18*1024^3/1000000000</f>
        <v>85.01887762432</v>
      </c>
      <c r="D6" s="33" t="s">
        <v>147</v>
      </c>
    </row>
    <row r="7" customFormat="false" ht="15" hidden="false" customHeight="true" outlineLevel="0" collapsed="false">
      <c r="A7" s="31" t="s">
        <v>148</v>
      </c>
      <c r="B7" s="32" t="n">
        <v>40</v>
      </c>
      <c r="C7" s="35" t="n">
        <f aca="false">B7*1024^3/1000000000*0.99</f>
        <v>42.5201762304</v>
      </c>
      <c r="D7" s="33" t="s">
        <v>149</v>
      </c>
    </row>
    <row r="8" customFormat="false" ht="15" hidden="false" customHeight="true" outlineLevel="0" collapsed="false">
      <c r="A8" s="31" t="s">
        <v>150</v>
      </c>
      <c r="B8" s="32" t="n">
        <v>48</v>
      </c>
      <c r="C8" s="35" t="n">
        <f aca="false">B8*1024^3/1000000000*0.99</f>
        <v>51.02421147648</v>
      </c>
      <c r="D8" s="33" t="s">
        <v>149</v>
      </c>
    </row>
    <row r="9" customFormat="false" ht="15" hidden="false" customHeight="true" outlineLevel="0" collapsed="false">
      <c r="A9" s="31" t="s">
        <v>151</v>
      </c>
      <c r="B9" s="32" t="n">
        <v>96</v>
      </c>
      <c r="C9" s="35" t="n">
        <f aca="false">B9*1024^3/1000000000*0.99</f>
        <v>102.04842295296</v>
      </c>
      <c r="D9" s="33" t="s">
        <v>149</v>
      </c>
    </row>
    <row r="10" customFormat="false" ht="15" hidden="false" customHeight="true" outlineLevel="0" collapsed="false">
      <c r="A10" s="31" t="s">
        <v>152</v>
      </c>
      <c r="B10" s="32" t="n">
        <v>24</v>
      </c>
      <c r="C10" s="35" t="n">
        <f aca="false">B10*1024^3/1000000000*0.99</f>
        <v>25.51210573824</v>
      </c>
      <c r="D10" s="33" t="s">
        <v>149</v>
      </c>
    </row>
    <row r="11" customFormat="false" ht="15" hidden="false" customHeight="true" outlineLevel="0" collapsed="false">
      <c r="A11" s="31" t="s">
        <v>153</v>
      </c>
      <c r="B11" s="32" t="n">
        <v>24</v>
      </c>
      <c r="C11" s="35" t="n">
        <f aca="false">B11*1024^3/1000000000*0.99</f>
        <v>25.51210573824</v>
      </c>
      <c r="D11" s="33" t="s">
        <v>149</v>
      </c>
    </row>
    <row r="12" customFormat="false" ht="15" hidden="false" customHeight="true" outlineLevel="0" collapsed="false">
      <c r="A12" s="1" t="s">
        <v>154</v>
      </c>
      <c r="B12" s="1" t="n">
        <v>141</v>
      </c>
      <c r="C12" s="1" t="n">
        <f aca="false">B12*1024^3/1000000000*0.99</f>
        <v>149.88362121216</v>
      </c>
      <c r="D12" s="1" t="s">
        <v>149</v>
      </c>
    </row>
    <row r="13" customFormat="false" ht="15" hidden="false" customHeight="true" outlineLevel="0" collapsed="false">
      <c r="A13" s="1" t="s">
        <v>155</v>
      </c>
      <c r="B13" s="1" t="n">
        <v>180</v>
      </c>
      <c r="C13" s="1" t="n">
        <f aca="false">B13*1024^3/1000000000*0.99</f>
        <v>191.3407930368</v>
      </c>
      <c r="D13" s="1" t="s">
        <v>149</v>
      </c>
    </row>
    <row r="14" customFormat="false" ht="15" hidden="false" customHeight="true" outlineLevel="0" collapsed="false">
      <c r="A14" s="1" t="s">
        <v>156</v>
      </c>
      <c r="B14" s="1" t="n">
        <v>94</v>
      </c>
      <c r="C14" s="1" t="n">
        <f aca="false">B14*1024^3/1000000000*0.99</f>
        <v>99.92241414144</v>
      </c>
      <c r="D14" s="1" t="s">
        <v>149</v>
      </c>
    </row>
    <row r="15" customFormat="false" ht="15" hidden="false" customHeight="true" outlineLevel="0" collapsed="false">
      <c r="A15" s="1" t="s">
        <v>157</v>
      </c>
      <c r="B15" s="1" t="n">
        <v>48</v>
      </c>
      <c r="C15" s="1" t="n">
        <f aca="false">B15*1024^3/1000000000*0.99</f>
        <v>51.02421147648</v>
      </c>
      <c r="D15" s="1" t="s">
        <v>149</v>
      </c>
    </row>
    <row r="16" customFormat="false" ht="15" hidden="false" customHeight="true" outlineLevel="0" collapsed="false">
      <c r="A16" s="31" t="s">
        <v>158</v>
      </c>
      <c r="B16" s="32" t="n">
        <v>0</v>
      </c>
      <c r="C16" s="35" t="n">
        <f aca="false">0</f>
        <v>0</v>
      </c>
      <c r="D16" s="33" t="s">
        <v>159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13"/>
    <col collapsed="false" customWidth="true" hidden="false" outlineLevel="0" max="35" min="3" style="1" width="15"/>
  </cols>
  <sheetData>
    <row r="1" customFormat="false" ht="15.75" hidden="false" customHeight="true" outlineLevel="0" collapsed="false">
      <c r="A1" s="29" t="s">
        <v>160</v>
      </c>
    </row>
    <row r="2" customFormat="false" ht="15" hidden="false" customHeight="true" outlineLevel="0" collapsed="false">
      <c r="A2" s="16" t="s">
        <v>161</v>
      </c>
    </row>
    <row r="3" customFormat="false" ht="15" hidden="false" customHeight="true" outlineLevel="0" collapsed="false">
      <c r="B3" s="22" t="s">
        <v>162</v>
      </c>
      <c r="C3" s="36" t="n">
        <f aca="false">79.18*1024^3/1000000000</f>
        <v>85.01887762432</v>
      </c>
    </row>
    <row r="5" customFormat="false" ht="45.75" hidden="false" customHeight="true" outlineLevel="0" collapsed="false">
      <c r="A5" s="30" t="s">
        <v>163</v>
      </c>
      <c r="B5" s="30" t="s">
        <v>164</v>
      </c>
      <c r="C5" s="30" t="s">
        <v>165</v>
      </c>
      <c r="D5" s="30" t="s">
        <v>123</v>
      </c>
      <c r="E5" s="30" t="s">
        <v>166</v>
      </c>
      <c r="F5" s="30" t="s">
        <v>167</v>
      </c>
      <c r="G5" s="30" t="s">
        <v>168</v>
      </c>
      <c r="H5" s="30" t="s">
        <v>169</v>
      </c>
      <c r="I5" s="30" t="s">
        <v>170</v>
      </c>
      <c r="J5" s="30" t="s">
        <v>171</v>
      </c>
      <c r="K5" s="30" t="s">
        <v>172</v>
      </c>
      <c r="L5" s="30" t="s">
        <v>173</v>
      </c>
      <c r="M5" s="30" t="s">
        <v>17</v>
      </c>
      <c r="N5" s="30" t="s">
        <v>174</v>
      </c>
      <c r="O5" s="30" t="s">
        <v>175</v>
      </c>
      <c r="P5" s="30" t="s">
        <v>176</v>
      </c>
      <c r="Q5" s="30" t="s">
        <v>177</v>
      </c>
      <c r="R5" s="30" t="s">
        <v>178</v>
      </c>
      <c r="S5" s="30" t="s">
        <v>179</v>
      </c>
      <c r="T5" s="30" t="s">
        <v>180</v>
      </c>
      <c r="U5" s="30" t="s">
        <v>181</v>
      </c>
      <c r="V5" s="30" t="s">
        <v>182</v>
      </c>
      <c r="W5" s="30" t="s">
        <v>183</v>
      </c>
      <c r="X5" s="30" t="s">
        <v>184</v>
      </c>
      <c r="Y5" s="30" t="s">
        <v>185</v>
      </c>
      <c r="Z5" s="30" t="s">
        <v>186</v>
      </c>
      <c r="AA5" s="30" t="s">
        <v>187</v>
      </c>
      <c r="AB5" s="30" t="s">
        <v>188</v>
      </c>
      <c r="AC5" s="30" t="s">
        <v>189</v>
      </c>
      <c r="AD5" s="30" t="s">
        <v>190</v>
      </c>
      <c r="AE5" s="30" t="s">
        <v>191</v>
      </c>
      <c r="AF5" s="30" t="s">
        <v>192</v>
      </c>
      <c r="AG5" s="30" t="s">
        <v>193</v>
      </c>
      <c r="AH5" s="30" t="s">
        <v>194</v>
      </c>
      <c r="AI5" s="30" t="s">
        <v>195</v>
      </c>
    </row>
    <row r="6" customFormat="false" ht="15" hidden="false" customHeight="true" outlineLevel="0" collapsed="false">
      <c r="A6" s="37" t="s">
        <v>196</v>
      </c>
      <c r="B6" s="37" t="s">
        <v>196</v>
      </c>
      <c r="C6" s="38" t="n">
        <v>2048</v>
      </c>
      <c r="D6" s="38" t="n">
        <v>20</v>
      </c>
      <c r="E6" s="38" t="n">
        <v>16</v>
      </c>
      <c r="F6" s="38" t="n">
        <v>4</v>
      </c>
      <c r="G6" s="38" t="n">
        <v>1000</v>
      </c>
      <c r="H6" s="38" t="n">
        <v>256</v>
      </c>
      <c r="I6" s="38" t="n">
        <v>100</v>
      </c>
      <c r="J6" s="37" t="s">
        <v>197</v>
      </c>
      <c r="K6" s="37" t="s">
        <v>198</v>
      </c>
      <c r="L6" s="37" t="s">
        <v>199</v>
      </c>
      <c r="M6" s="38" t="n">
        <v>1011262440</v>
      </c>
      <c r="N6" s="32" t="n">
        <f aca="false">IF(J6="amp_bf16",2,4)</f>
        <v>2</v>
      </c>
      <c r="O6" s="32" t="n">
        <f aca="false">H6*I6*C6</f>
        <v>52428800</v>
      </c>
      <c r="P6" s="32" t="n">
        <f aca="false">H6*I6*F6*C6</f>
        <v>209715200</v>
      </c>
      <c r="Q6" s="32" t="n">
        <f aca="false">9*O6*N6+2*P6*N6+2*O6+P6</f>
        <v>2097152000</v>
      </c>
      <c r="R6" s="32" t="n">
        <f aca="false">O6*N6+H6*I6*G6*N6+IF(J6="amp_bf16",H6*I6*G6*4,0)</f>
        <v>258457600</v>
      </c>
      <c r="S6" s="32" t="n">
        <f aca="false">Q6*D6+R6</f>
        <v>42201497600</v>
      </c>
      <c r="T6" s="32" t="n">
        <f aca="false">(D6+3)*O6*4+7*O6*N6+3*P6*N6+O6+H6*I6*G6*N6</f>
        <v>6919372800</v>
      </c>
      <c r="U6" s="32" t="n">
        <f aca="false">(2*F6*C6+3*C6)*H6*I6*N6</f>
        <v>1153433600</v>
      </c>
      <c r="V6" s="35" t="n">
        <f aca="false">M6*4/1000000000</f>
        <v>4.04504976</v>
      </c>
      <c r="W6" s="35" t="n">
        <f aca="false">M6*4/1000000000</f>
        <v>4.04504976</v>
      </c>
      <c r="X6" s="35" t="n">
        <f aca="false">M6*IF(K6="adam8bit",2,8)/1000000000</f>
        <v>8.09009952</v>
      </c>
      <c r="Y6" s="35" t="n">
        <f aca="false">IF(J6="amp_bf16",M6*2,0)/1000000000</f>
        <v>2.02252488</v>
      </c>
      <c r="Z6" s="35" t="n">
        <f aca="false">IF(L6="Yes",T6,S6)/1000000000</f>
        <v>42.2014976</v>
      </c>
      <c r="AA6" s="35" t="n">
        <f aca="false">V6+X6+T6/1000000000</f>
        <v>19.05452208</v>
      </c>
      <c r="AB6" s="35" t="n">
        <f aca="false">V6+W6+X6+IF(K6="adam",W6,0)</f>
        <v>20.2252488</v>
      </c>
      <c r="AC6" s="35" t="n">
        <f aca="false">V6+X6+Y6+D6*O6*4/1000000000+U6/1000000000+(H6*I6*G6*N6+IF(J6="amp_bf16",H6*I6*G6*4,0))/1000000000</f>
        <v>19.65901176</v>
      </c>
      <c r="AD6" s="35" t="n">
        <f aca="false">IF(L6="Yes",MAX(AA6,AB6,AC6),V6+W6+X6+Y6+Z6)</f>
        <v>60.40422152</v>
      </c>
      <c r="AE6" s="35" t="n">
        <f aca="false">AD6+0.6+IF(L6="Yes",5.2,1.2)</f>
        <v>62.20422152</v>
      </c>
      <c r="AF6" s="35" t="str">
        <f aca="false">IF(AE6&gt;$C$3,"OOM","fits")</f>
        <v>fits</v>
      </c>
      <c r="AG6" s="39" t="n">
        <v>59.2206</v>
      </c>
      <c r="AH6" s="39" t="n">
        <v>60.1673</v>
      </c>
      <c r="AI6" s="40" t="n">
        <f aca="false">IF(ISNUMBER(AG6),(AD6-AG6)/AG6,"")</f>
        <v>0.0199866519420609</v>
      </c>
    </row>
    <row r="7" customFormat="false" ht="15" hidden="false" customHeight="true" outlineLevel="0" collapsed="false">
      <c r="A7" s="37" t="s">
        <v>200</v>
      </c>
      <c r="B7" s="37" t="s">
        <v>201</v>
      </c>
      <c r="C7" s="38" t="n">
        <v>2048</v>
      </c>
      <c r="D7" s="38" t="n">
        <v>20</v>
      </c>
      <c r="E7" s="38" t="n">
        <v>16</v>
      </c>
      <c r="F7" s="38" t="n">
        <v>4</v>
      </c>
      <c r="G7" s="38" t="n">
        <v>1000</v>
      </c>
      <c r="H7" s="38" t="n">
        <v>256</v>
      </c>
      <c r="I7" s="38" t="n">
        <v>100</v>
      </c>
      <c r="J7" s="37" t="s">
        <v>197</v>
      </c>
      <c r="K7" s="37" t="s">
        <v>198</v>
      </c>
      <c r="L7" s="37" t="s">
        <v>199</v>
      </c>
      <c r="M7" s="38" t="n">
        <v>1011262440</v>
      </c>
      <c r="N7" s="32" t="n">
        <f aca="false">IF(J7="amp_bf16",2,4)</f>
        <v>2</v>
      </c>
      <c r="O7" s="32" t="n">
        <f aca="false">H7*I7*C7</f>
        <v>52428800</v>
      </c>
      <c r="P7" s="32" t="n">
        <f aca="false">H7*I7*F7*C7</f>
        <v>209715200</v>
      </c>
      <c r="Q7" s="32" t="n">
        <f aca="false">9*O7*N7+2*P7*N7+2*O7+P7</f>
        <v>2097152000</v>
      </c>
      <c r="R7" s="32" t="n">
        <f aca="false">O7*N7+H7*I7*G7*N7+IF(J7="amp_bf16",H7*I7*G7*4,0)</f>
        <v>258457600</v>
      </c>
      <c r="S7" s="32" t="n">
        <f aca="false">Q7*D7+R7</f>
        <v>42201497600</v>
      </c>
      <c r="T7" s="32" t="n">
        <f aca="false">(D7+3)*O7*4+7*O7*N7+3*P7*N7+O7+H7*I7*G7*N7</f>
        <v>6919372800</v>
      </c>
      <c r="U7" s="32" t="n">
        <f aca="false">(2*F7*C7+3*C7)*H7*I7*N7</f>
        <v>1153433600</v>
      </c>
      <c r="V7" s="35" t="n">
        <f aca="false">M7*4/1000000000</f>
        <v>4.04504976</v>
      </c>
      <c r="W7" s="35" t="n">
        <f aca="false">M7*4/1000000000</f>
        <v>4.04504976</v>
      </c>
      <c r="X7" s="35" t="n">
        <f aca="false">M7*IF(K7="adam8bit",2,8)/1000000000</f>
        <v>8.09009952</v>
      </c>
      <c r="Y7" s="35" t="n">
        <f aca="false">IF(J7="amp_bf16",M7*2,0)/1000000000</f>
        <v>2.02252488</v>
      </c>
      <c r="Z7" s="35" t="n">
        <f aca="false">IF(L7="Yes",T7,S7)/1000000000</f>
        <v>42.2014976</v>
      </c>
      <c r="AA7" s="35" t="n">
        <f aca="false">V7+X7+T7/1000000000</f>
        <v>19.05452208</v>
      </c>
      <c r="AB7" s="35" t="n">
        <f aca="false">V7+W7+X7+IF(K7="adam",W7,0)</f>
        <v>20.2252488</v>
      </c>
      <c r="AC7" s="35" t="n">
        <f aca="false">V7+X7+Y7+D7*O7*4/1000000000+U7/1000000000+(H7*I7*G7*N7+IF(J7="amp_bf16",H7*I7*G7*4,0))/1000000000</f>
        <v>19.65901176</v>
      </c>
      <c r="AD7" s="35" t="n">
        <f aca="false">IF(L7="Yes",MAX(AA7,AB7,AC7),V7+W7+X7+Y7+Z7)</f>
        <v>60.40422152</v>
      </c>
      <c r="AE7" s="35" t="n">
        <f aca="false">AD7+0.6+IF(L7="Yes",5.2,1.2)</f>
        <v>62.20422152</v>
      </c>
      <c r="AF7" s="35" t="str">
        <f aca="false">IF(AE7&gt;$C$3,"OOM","fits")</f>
        <v>fits</v>
      </c>
      <c r="AG7" s="39" t="n">
        <v>59.2206</v>
      </c>
      <c r="AH7" s="39" t="n">
        <v>60.1673</v>
      </c>
      <c r="AI7" s="40" t="n">
        <f aca="false">IF(ISNUMBER(AG7),(AD7-AG7)/AG7,"")</f>
        <v>0.0199866519420609</v>
      </c>
    </row>
    <row r="8" customFormat="false" ht="15" hidden="false" customHeight="true" outlineLevel="0" collapsed="false">
      <c r="A8" s="37" t="s">
        <v>200</v>
      </c>
      <c r="B8" s="37" t="s">
        <v>202</v>
      </c>
      <c r="C8" s="38" t="n">
        <v>2048</v>
      </c>
      <c r="D8" s="38" t="n">
        <v>20</v>
      </c>
      <c r="E8" s="38" t="n">
        <v>16</v>
      </c>
      <c r="F8" s="38" t="n">
        <v>4</v>
      </c>
      <c r="G8" s="38" t="n">
        <v>1000</v>
      </c>
      <c r="H8" s="38" t="n">
        <v>1024</v>
      </c>
      <c r="I8" s="38" t="n">
        <v>100</v>
      </c>
      <c r="J8" s="37" t="s">
        <v>197</v>
      </c>
      <c r="K8" s="37" t="s">
        <v>198</v>
      </c>
      <c r="L8" s="37" t="s">
        <v>199</v>
      </c>
      <c r="M8" s="38" t="n">
        <v>1010728960</v>
      </c>
      <c r="N8" s="32" t="n">
        <f aca="false">IF(J8="amp_bf16",2,4)</f>
        <v>2</v>
      </c>
      <c r="O8" s="32" t="n">
        <f aca="false">H8*I8*C8</f>
        <v>209715200</v>
      </c>
      <c r="P8" s="32" t="n">
        <f aca="false">H8*I8*F8*C8</f>
        <v>838860800</v>
      </c>
      <c r="Q8" s="32" t="n">
        <f aca="false">9*O8*N8+2*P8*N8+2*O8+P8</f>
        <v>8388608000</v>
      </c>
      <c r="R8" s="32" t="n">
        <f aca="false">O8*N8+H8*I8*G8*N8+IF(J8="amp_bf16",H8*I8*G8*4,0)</f>
        <v>1033830400</v>
      </c>
      <c r="S8" s="32" t="n">
        <f aca="false">Q8*D8+R8</f>
        <v>168805990400</v>
      </c>
      <c r="T8" s="32" t="n">
        <f aca="false">(D8+3)*O8*4+7*O8*N8+3*P8*N8+O8+H8*I8*G8*N8</f>
        <v>27677491200</v>
      </c>
      <c r="U8" s="32" t="n">
        <f aca="false">(2*F8*C8+3*C8)*H8*I8*N8</f>
        <v>4613734400</v>
      </c>
      <c r="V8" s="35" t="n">
        <f aca="false">M8*4/1000000000</f>
        <v>4.04291584</v>
      </c>
      <c r="W8" s="35" t="n">
        <f aca="false">M8*4/1000000000</f>
        <v>4.04291584</v>
      </c>
      <c r="X8" s="35" t="n">
        <f aca="false">M8*IF(K8="adam8bit",2,8)/1000000000</f>
        <v>8.08583168</v>
      </c>
      <c r="Y8" s="35" t="n">
        <f aca="false">IF(J8="amp_bf16",M8*2,0)/1000000000</f>
        <v>2.02145792</v>
      </c>
      <c r="Z8" s="35" t="n">
        <f aca="false">IF(L8="Yes",T8,S8)/1000000000</f>
        <v>168.8059904</v>
      </c>
      <c r="AA8" s="35" t="n">
        <f aca="false">V8+X8+T8/1000000000</f>
        <v>39.80623872</v>
      </c>
      <c r="AB8" s="35" t="n">
        <f aca="false">V8+W8+X8+IF(K8="adam",W8,0)</f>
        <v>20.2145792</v>
      </c>
      <c r="AC8" s="35" t="n">
        <f aca="false">V8+X8+Y8+D8*O8*4/1000000000+U8/1000000000+(H8*I8*G8*N8+IF(J8="amp_bf16",H8*I8*G8*4,0))/1000000000</f>
        <v>36.15555584</v>
      </c>
      <c r="AD8" s="35" t="n">
        <f aca="false">IF(L8="Yes",MAX(AA8,AB8,AC8),V8+W8+X8+Y8+Z8)</f>
        <v>186.99911168</v>
      </c>
      <c r="AE8" s="35" t="n">
        <f aca="false">AD8+0.6+IF(L8="Yes",5.2,1.2)</f>
        <v>188.79911168</v>
      </c>
      <c r="AF8" s="35" t="str">
        <f aca="false">IF(AE8&gt;$C$3,"OOM","fits")</f>
        <v>OOM</v>
      </c>
      <c r="AG8" s="39" t="s">
        <v>203</v>
      </c>
      <c r="AH8" s="39" t="s">
        <v>203</v>
      </c>
      <c r="AI8" s="40" t="str">
        <f aca="false">IF(ISNUMBER(AG8),(AD8-AG8)/AG8,"")</f>
        <v/>
      </c>
    </row>
    <row r="9" customFormat="false" ht="15" hidden="false" customHeight="true" outlineLevel="0" collapsed="false">
      <c r="A9" s="37" t="s">
        <v>200</v>
      </c>
      <c r="B9" s="37" t="s">
        <v>204</v>
      </c>
      <c r="C9" s="38" t="n">
        <v>2048</v>
      </c>
      <c r="D9" s="38" t="n">
        <v>20</v>
      </c>
      <c r="E9" s="38" t="n">
        <v>16</v>
      </c>
      <c r="F9" s="38" t="n">
        <v>4</v>
      </c>
      <c r="G9" s="38" t="n">
        <v>1000</v>
      </c>
      <c r="H9" s="38" t="n">
        <v>4096</v>
      </c>
      <c r="I9" s="38" t="n">
        <v>100</v>
      </c>
      <c r="J9" s="37" t="s">
        <v>197</v>
      </c>
      <c r="K9" s="37" t="s">
        <v>198</v>
      </c>
      <c r="L9" s="37" t="s">
        <v>199</v>
      </c>
      <c r="M9" s="38" t="n">
        <v>1010728960</v>
      </c>
      <c r="N9" s="32" t="n">
        <f aca="false">IF(J9="amp_bf16",2,4)</f>
        <v>2</v>
      </c>
      <c r="O9" s="32" t="n">
        <f aca="false">H9*I9*C9</f>
        <v>838860800</v>
      </c>
      <c r="P9" s="32" t="n">
        <f aca="false">H9*I9*F9*C9</f>
        <v>3355443200</v>
      </c>
      <c r="Q9" s="32" t="n">
        <f aca="false">9*O9*N9+2*P9*N9+2*O9+P9</f>
        <v>33554432000</v>
      </c>
      <c r="R9" s="32" t="n">
        <f aca="false">O9*N9+H9*I9*G9*N9+IF(J9="amp_bf16",H9*I9*G9*4,0)</f>
        <v>4135321600</v>
      </c>
      <c r="S9" s="32" t="n">
        <f aca="false">Q9*D9+R9</f>
        <v>675223961600</v>
      </c>
      <c r="T9" s="32" t="n">
        <f aca="false">(D9+3)*O9*4+7*O9*N9+3*P9*N9+O9+H9*I9*G9*N9</f>
        <v>110709964800</v>
      </c>
      <c r="U9" s="32" t="n">
        <f aca="false">(2*F9*C9+3*C9)*H9*I9*N9</f>
        <v>18454937600</v>
      </c>
      <c r="V9" s="35" t="n">
        <f aca="false">M9*4/1000000000</f>
        <v>4.04291584</v>
      </c>
      <c r="W9" s="35" t="n">
        <f aca="false">M9*4/1000000000</f>
        <v>4.04291584</v>
      </c>
      <c r="X9" s="35" t="n">
        <f aca="false">M9*IF(K9="adam8bit",2,8)/1000000000</f>
        <v>8.08583168</v>
      </c>
      <c r="Y9" s="35" t="n">
        <f aca="false">IF(J9="amp_bf16",M9*2,0)/1000000000</f>
        <v>2.02145792</v>
      </c>
      <c r="Z9" s="35" t="n">
        <f aca="false">IF(L9="Yes",T9,S9)/1000000000</f>
        <v>675.2239616</v>
      </c>
      <c r="AA9" s="35" t="n">
        <f aca="false">V9+X9+T9/1000000000</f>
        <v>122.83871232</v>
      </c>
      <c r="AB9" s="35" t="n">
        <f aca="false">V9+W9+X9+IF(K9="adam",W9,0)</f>
        <v>20.2145792</v>
      </c>
      <c r="AC9" s="35" t="n">
        <f aca="false">V9+X9+Y9+D9*O9*4/1000000000+U9/1000000000+(H9*I9*G9*N9+IF(J9="amp_bf16",H9*I9*G9*4,0))/1000000000</f>
        <v>102.17160704</v>
      </c>
      <c r="AD9" s="35" t="n">
        <f aca="false">IF(L9="Yes",MAX(AA9,AB9,AC9),V9+W9+X9+Y9+Z9)</f>
        <v>693.41708288</v>
      </c>
      <c r="AE9" s="35" t="n">
        <f aca="false">AD9+0.6+IF(L9="Yes",5.2,1.2)</f>
        <v>695.21708288</v>
      </c>
      <c r="AF9" s="35" t="str">
        <f aca="false">IF(AE9&gt;$C$3,"OOM","fits")</f>
        <v>OOM</v>
      </c>
      <c r="AG9" s="39" t="s">
        <v>203</v>
      </c>
      <c r="AH9" s="39" t="s">
        <v>203</v>
      </c>
      <c r="AI9" s="40" t="str">
        <f aca="false">IF(ISNUMBER(AG9),(AD9-AG9)/AG9,"")</f>
        <v/>
      </c>
    </row>
    <row r="10" customFormat="false" ht="15" hidden="false" customHeight="true" outlineLevel="0" collapsed="false">
      <c r="A10" s="37" t="s">
        <v>205</v>
      </c>
      <c r="B10" s="37" t="s">
        <v>206</v>
      </c>
      <c r="C10" s="38" t="n">
        <v>2048</v>
      </c>
      <c r="D10" s="38" t="n">
        <v>20</v>
      </c>
      <c r="E10" s="38" t="n">
        <v>16</v>
      </c>
      <c r="F10" s="38" t="n">
        <v>4</v>
      </c>
      <c r="G10" s="38" t="n">
        <v>1000</v>
      </c>
      <c r="H10" s="38" t="n">
        <v>256</v>
      </c>
      <c r="I10" s="38" t="n">
        <v>100</v>
      </c>
      <c r="J10" s="37" t="s">
        <v>197</v>
      </c>
      <c r="K10" s="37" t="s">
        <v>198</v>
      </c>
      <c r="L10" s="37" t="s">
        <v>199</v>
      </c>
      <c r="M10" s="38" t="n">
        <v>1011262440</v>
      </c>
      <c r="N10" s="32" t="n">
        <f aca="false">IF(J10="amp_bf16",2,4)</f>
        <v>2</v>
      </c>
      <c r="O10" s="32" t="n">
        <f aca="false">H10*I10*C10</f>
        <v>52428800</v>
      </c>
      <c r="P10" s="32" t="n">
        <f aca="false">H10*I10*F10*C10</f>
        <v>209715200</v>
      </c>
      <c r="Q10" s="32" t="n">
        <f aca="false">9*O10*N10+2*P10*N10+2*O10+P10</f>
        <v>2097152000</v>
      </c>
      <c r="R10" s="32" t="n">
        <f aca="false">O10*N10+H10*I10*G10*N10+IF(J10="amp_bf16",H10*I10*G10*4,0)</f>
        <v>258457600</v>
      </c>
      <c r="S10" s="32" t="n">
        <f aca="false">Q10*D10+R10</f>
        <v>42201497600</v>
      </c>
      <c r="T10" s="32" t="n">
        <f aca="false">(D10+3)*O10*4+7*O10*N10+3*P10*N10+O10+H10*I10*G10*N10</f>
        <v>6919372800</v>
      </c>
      <c r="U10" s="32" t="n">
        <f aca="false">(2*F10*C10+3*C10)*H10*I10*N10</f>
        <v>1153433600</v>
      </c>
      <c r="V10" s="35" t="n">
        <f aca="false">M10*4/1000000000</f>
        <v>4.04504976</v>
      </c>
      <c r="W10" s="35" t="n">
        <f aca="false">M10*4/1000000000</f>
        <v>4.04504976</v>
      </c>
      <c r="X10" s="35" t="n">
        <f aca="false">M10*IF(K10="adam8bit",2,8)/1000000000</f>
        <v>8.09009952</v>
      </c>
      <c r="Y10" s="35" t="n">
        <f aca="false">IF(J10="amp_bf16",M10*2,0)/1000000000</f>
        <v>2.02252488</v>
      </c>
      <c r="Z10" s="35" t="n">
        <f aca="false">IF(L10="Yes",T10,S10)/1000000000</f>
        <v>42.2014976</v>
      </c>
      <c r="AA10" s="35" t="n">
        <f aca="false">V10+X10+T10/1000000000</f>
        <v>19.05452208</v>
      </c>
      <c r="AB10" s="35" t="n">
        <f aca="false">V10+W10+X10+IF(K10="adam",W10,0)</f>
        <v>20.2252488</v>
      </c>
      <c r="AC10" s="35" t="n">
        <f aca="false">V10+X10+Y10+D10*O10*4/1000000000+U10/1000000000+(H10*I10*G10*N10+IF(J10="amp_bf16",H10*I10*G10*4,0))/1000000000</f>
        <v>19.65901176</v>
      </c>
      <c r="AD10" s="35" t="n">
        <f aca="false">IF(L10="Yes",MAX(AA10,AB10,AC10),V10+W10+X10+Y10+Z10)</f>
        <v>60.40422152</v>
      </c>
      <c r="AE10" s="35" t="n">
        <f aca="false">AD10+0.6+IF(L10="Yes",5.2,1.2)</f>
        <v>62.20422152</v>
      </c>
      <c r="AF10" s="35" t="str">
        <f aca="false">IF(AE10&gt;$C$3,"OOM","fits")</f>
        <v>fits</v>
      </c>
      <c r="AG10" s="39" t="n">
        <v>59.2206</v>
      </c>
      <c r="AH10" s="39" t="n">
        <v>60.1673</v>
      </c>
      <c r="AI10" s="40" t="n">
        <f aca="false">IF(ISNUMBER(AG10),(AD10-AG10)/AG10,"")</f>
        <v>0.0199866519420609</v>
      </c>
    </row>
    <row r="11" customFormat="false" ht="15" hidden="false" customHeight="true" outlineLevel="0" collapsed="false">
      <c r="A11" s="37" t="s">
        <v>205</v>
      </c>
      <c r="B11" s="37" t="s">
        <v>207</v>
      </c>
      <c r="C11" s="38" t="n">
        <v>2048</v>
      </c>
      <c r="D11" s="38" t="n">
        <v>20</v>
      </c>
      <c r="E11" s="38" t="n">
        <v>16</v>
      </c>
      <c r="F11" s="38" t="n">
        <v>4</v>
      </c>
      <c r="G11" s="38" t="n">
        <v>1000</v>
      </c>
      <c r="H11" s="38" t="n">
        <v>256</v>
      </c>
      <c r="I11" s="38" t="n">
        <v>512</v>
      </c>
      <c r="J11" s="37" t="s">
        <v>197</v>
      </c>
      <c r="K11" s="37" t="s">
        <v>198</v>
      </c>
      <c r="L11" s="37" t="s">
        <v>199</v>
      </c>
      <c r="M11" s="38" t="n">
        <v>1010728960</v>
      </c>
      <c r="N11" s="32" t="n">
        <f aca="false">IF(J11="amp_bf16",2,4)</f>
        <v>2</v>
      </c>
      <c r="O11" s="32" t="n">
        <f aca="false">H11*I11*C11</f>
        <v>268435456</v>
      </c>
      <c r="P11" s="32" t="n">
        <f aca="false">H11*I11*F11*C11</f>
        <v>1073741824</v>
      </c>
      <c r="Q11" s="32" t="n">
        <f aca="false">9*O11*N11+2*P11*N11+2*O11+P11</f>
        <v>10737418240</v>
      </c>
      <c r="R11" s="32" t="n">
        <f aca="false">O11*N11+H11*I11*G11*N11+IF(J11="amp_bf16",H11*I11*G11*4,0)</f>
        <v>1323302912</v>
      </c>
      <c r="S11" s="32" t="n">
        <f aca="false">Q11*D11+R11</f>
        <v>216071667712</v>
      </c>
      <c r="T11" s="32" t="n">
        <f aca="false">(D11+3)*O11*4+7*O11*N11+3*P11*N11+O11+H11*I11*G11*N11</f>
        <v>35427188736</v>
      </c>
      <c r="U11" s="32" t="n">
        <f aca="false">(2*F11*C11+3*C11)*H11*I11*N11</f>
        <v>5905580032</v>
      </c>
      <c r="V11" s="35" t="n">
        <f aca="false">M11*4/1000000000</f>
        <v>4.04291584</v>
      </c>
      <c r="W11" s="35" t="n">
        <f aca="false">M11*4/1000000000</f>
        <v>4.04291584</v>
      </c>
      <c r="X11" s="35" t="n">
        <f aca="false">M11*IF(K11="adam8bit",2,8)/1000000000</f>
        <v>8.08583168</v>
      </c>
      <c r="Y11" s="35" t="n">
        <f aca="false">IF(J11="amp_bf16",M11*2,0)/1000000000</f>
        <v>2.02145792</v>
      </c>
      <c r="Z11" s="35" t="n">
        <f aca="false">IF(L11="Yes",T11,S11)/1000000000</f>
        <v>216.071667712</v>
      </c>
      <c r="AA11" s="35" t="n">
        <f aca="false">V11+X11+T11/1000000000</f>
        <v>47.555936256</v>
      </c>
      <c r="AB11" s="35" t="n">
        <f aca="false">V11+W11+X11+IF(K11="adam",W11,0)</f>
        <v>20.2145792</v>
      </c>
      <c r="AC11" s="35" t="n">
        <f aca="false">V11+X11+Y11+D11*O11*4/1000000000+U11/1000000000+(H11*I11*G11*N11+IF(J11="amp_bf16",H11*I11*G11*4,0))/1000000000</f>
        <v>42.317053952</v>
      </c>
      <c r="AD11" s="35" t="n">
        <f aca="false">IF(L11="Yes",MAX(AA11,AB11,AC11),V11+W11+X11+Y11+Z11)</f>
        <v>234.264788992</v>
      </c>
      <c r="AE11" s="35" t="n">
        <f aca="false">AD11+0.6+IF(L11="Yes",5.2,1.2)</f>
        <v>236.064788992</v>
      </c>
      <c r="AF11" s="35" t="str">
        <f aca="false">IF(AE11&gt;$C$3,"OOM","fits")</f>
        <v>OOM</v>
      </c>
      <c r="AG11" s="39" t="s">
        <v>203</v>
      </c>
      <c r="AH11" s="39" t="s">
        <v>203</v>
      </c>
      <c r="AI11" s="40" t="str">
        <f aca="false">IF(ISNUMBER(AG11),(AD11-AG11)/AG11,"")</f>
        <v/>
      </c>
    </row>
    <row r="12" customFormat="false" ht="15" hidden="false" customHeight="true" outlineLevel="0" collapsed="false">
      <c r="A12" s="37" t="s">
        <v>205</v>
      </c>
      <c r="B12" s="37" t="s">
        <v>202</v>
      </c>
      <c r="C12" s="38" t="n">
        <v>2048</v>
      </c>
      <c r="D12" s="38" t="n">
        <v>20</v>
      </c>
      <c r="E12" s="38" t="n">
        <v>16</v>
      </c>
      <c r="F12" s="38" t="n">
        <v>4</v>
      </c>
      <c r="G12" s="38" t="n">
        <v>1000</v>
      </c>
      <c r="H12" s="38" t="n">
        <v>256</v>
      </c>
      <c r="I12" s="38" t="n">
        <v>1024</v>
      </c>
      <c r="J12" s="37" t="s">
        <v>197</v>
      </c>
      <c r="K12" s="37" t="s">
        <v>198</v>
      </c>
      <c r="L12" s="37" t="s">
        <v>199</v>
      </c>
      <c r="M12" s="38" t="n">
        <v>1010728960</v>
      </c>
      <c r="N12" s="32" t="n">
        <f aca="false">IF(J12="amp_bf16",2,4)</f>
        <v>2</v>
      </c>
      <c r="O12" s="32" t="n">
        <f aca="false">H12*I12*C12</f>
        <v>536870912</v>
      </c>
      <c r="P12" s="32" t="n">
        <f aca="false">H12*I12*F12*C12</f>
        <v>2147483648</v>
      </c>
      <c r="Q12" s="32" t="n">
        <f aca="false">9*O12*N12+2*P12*N12+2*O12+P12</f>
        <v>21474836480</v>
      </c>
      <c r="R12" s="32" t="n">
        <f aca="false">O12*N12+H12*I12*G12*N12+IF(J12="amp_bf16",H12*I12*G12*4,0)</f>
        <v>2646605824</v>
      </c>
      <c r="S12" s="32" t="n">
        <f aca="false">Q12*D12+R12</f>
        <v>432143335424</v>
      </c>
      <c r="T12" s="32" t="n">
        <f aca="false">(D12+3)*O12*4+7*O12*N12+3*P12*N12+O12+H12*I12*G12*N12</f>
        <v>70854377472</v>
      </c>
      <c r="U12" s="32" t="n">
        <f aca="false">(2*F12*C12+3*C12)*H12*I12*N12</f>
        <v>11811160064</v>
      </c>
      <c r="V12" s="35" t="n">
        <f aca="false">M12*4/1000000000</f>
        <v>4.04291584</v>
      </c>
      <c r="W12" s="35" t="n">
        <f aca="false">M12*4/1000000000</f>
        <v>4.04291584</v>
      </c>
      <c r="X12" s="35" t="n">
        <f aca="false">M12*IF(K12="adam8bit",2,8)/1000000000</f>
        <v>8.08583168</v>
      </c>
      <c r="Y12" s="35" t="n">
        <f aca="false">IF(J12="amp_bf16",M12*2,0)/1000000000</f>
        <v>2.02145792</v>
      </c>
      <c r="Z12" s="35" t="n">
        <f aca="false">IF(L12="Yes",T12,S12)/1000000000</f>
        <v>432.143335424</v>
      </c>
      <c r="AA12" s="35" t="n">
        <f aca="false">V12+X12+T12/1000000000</f>
        <v>82.983124992</v>
      </c>
      <c r="AB12" s="35" t="n">
        <f aca="false">V12+W12+X12+IF(K12="adam",W12,0)</f>
        <v>20.2145792</v>
      </c>
      <c r="AC12" s="35" t="n">
        <f aca="false">V12+X12+Y12+D12*O12*4/1000000000+U12/1000000000+(H12*I12*G12*N12+IF(J12="amp_bf16",H12*I12*G12*4,0))/1000000000</f>
        <v>70.483902464</v>
      </c>
      <c r="AD12" s="35" t="n">
        <f aca="false">IF(L12="Yes",MAX(AA12,AB12,AC12),V12+W12+X12+Y12+Z12)</f>
        <v>450.336456704</v>
      </c>
      <c r="AE12" s="35" t="n">
        <f aca="false">AD12+0.6+IF(L12="Yes",5.2,1.2)</f>
        <v>452.136456704</v>
      </c>
      <c r="AF12" s="35" t="str">
        <f aca="false">IF(AE12&gt;$C$3,"OOM","fits")</f>
        <v>OOM</v>
      </c>
      <c r="AG12" s="39" t="s">
        <v>203</v>
      </c>
      <c r="AH12" s="39" t="s">
        <v>203</v>
      </c>
      <c r="AI12" s="40" t="str">
        <f aca="false">IF(ISNUMBER(AG12),(AD12-AG12)/AG12,"")</f>
        <v/>
      </c>
    </row>
    <row r="13" customFormat="false" ht="15" hidden="false" customHeight="true" outlineLevel="0" collapsed="false">
      <c r="A13" s="37" t="s">
        <v>205</v>
      </c>
      <c r="B13" s="37" t="s">
        <v>208</v>
      </c>
      <c r="C13" s="38" t="n">
        <v>2048</v>
      </c>
      <c r="D13" s="38" t="n">
        <v>20</v>
      </c>
      <c r="E13" s="38" t="n">
        <v>16</v>
      </c>
      <c r="F13" s="38" t="n">
        <v>4</v>
      </c>
      <c r="G13" s="38" t="n">
        <v>1000</v>
      </c>
      <c r="H13" s="38" t="n">
        <v>256</v>
      </c>
      <c r="I13" s="38" t="n">
        <v>2048</v>
      </c>
      <c r="J13" s="37" t="s">
        <v>197</v>
      </c>
      <c r="K13" s="37" t="s">
        <v>198</v>
      </c>
      <c r="L13" s="37" t="s">
        <v>199</v>
      </c>
      <c r="M13" s="38" t="n">
        <v>1010728960</v>
      </c>
      <c r="N13" s="32" t="n">
        <f aca="false">IF(J13="amp_bf16",2,4)</f>
        <v>2</v>
      </c>
      <c r="O13" s="32" t="n">
        <f aca="false">H13*I13*C13</f>
        <v>1073741824</v>
      </c>
      <c r="P13" s="32" t="n">
        <f aca="false">H13*I13*F13*C13</f>
        <v>4294967296</v>
      </c>
      <c r="Q13" s="32" t="n">
        <f aca="false">9*O13*N13+2*P13*N13+2*O13+P13</f>
        <v>42949672960</v>
      </c>
      <c r="R13" s="32" t="n">
        <f aca="false">O13*N13+H13*I13*G13*N13+IF(J13="amp_bf16",H13*I13*G13*4,0)</f>
        <v>5293211648</v>
      </c>
      <c r="S13" s="32" t="n">
        <f aca="false">Q13*D13+R13</f>
        <v>864286670848</v>
      </c>
      <c r="T13" s="32" t="n">
        <f aca="false">(D13+3)*O13*4+7*O13*N13+3*P13*N13+O13+H13*I13*G13*N13</f>
        <v>141708754944</v>
      </c>
      <c r="U13" s="32" t="n">
        <f aca="false">(2*F13*C13+3*C13)*H13*I13*N13</f>
        <v>23622320128</v>
      </c>
      <c r="V13" s="35" t="n">
        <f aca="false">M13*4/1000000000</f>
        <v>4.04291584</v>
      </c>
      <c r="W13" s="35" t="n">
        <f aca="false">M13*4/1000000000</f>
        <v>4.04291584</v>
      </c>
      <c r="X13" s="35" t="n">
        <f aca="false">M13*IF(K13="adam8bit",2,8)/1000000000</f>
        <v>8.08583168</v>
      </c>
      <c r="Y13" s="35" t="n">
        <f aca="false">IF(J13="amp_bf16",M13*2,0)/1000000000</f>
        <v>2.02145792</v>
      </c>
      <c r="Z13" s="35" t="n">
        <f aca="false">IF(L13="Yes",T13,S13)/1000000000</f>
        <v>864.286670848</v>
      </c>
      <c r="AA13" s="35" t="n">
        <f aca="false">V13+X13+T13/1000000000</f>
        <v>153.837502464</v>
      </c>
      <c r="AB13" s="35" t="n">
        <f aca="false">V13+W13+X13+IF(K13="adam",W13,0)</f>
        <v>20.2145792</v>
      </c>
      <c r="AC13" s="35" t="n">
        <f aca="false">V13+X13+Y13+D13*O13*4/1000000000+U13/1000000000+(H13*I13*G13*N13+IF(J13="amp_bf16",H13*I13*G13*4,0))/1000000000</f>
        <v>126.817599488</v>
      </c>
      <c r="AD13" s="35" t="n">
        <f aca="false">IF(L13="Yes",MAX(AA13,AB13,AC13),V13+W13+X13+Y13+Z13)</f>
        <v>882.479792128</v>
      </c>
      <c r="AE13" s="35" t="n">
        <f aca="false">AD13+0.6+IF(L13="Yes",5.2,1.2)</f>
        <v>884.279792128</v>
      </c>
      <c r="AF13" s="35" t="str">
        <f aca="false">IF(AE13&gt;$C$3,"OOM","fits")</f>
        <v>OOM</v>
      </c>
      <c r="AG13" s="39" t="s">
        <v>203</v>
      </c>
      <c r="AH13" s="39" t="s">
        <v>203</v>
      </c>
      <c r="AI13" s="40" t="str">
        <f aca="false">IF(ISNUMBER(AG13),(AD13-AG13)/AG13,"")</f>
        <v/>
      </c>
    </row>
    <row r="14" customFormat="false" ht="15" hidden="false" customHeight="true" outlineLevel="0" collapsed="false">
      <c r="A14" s="37" t="s">
        <v>209</v>
      </c>
      <c r="B14" s="37" t="s">
        <v>198</v>
      </c>
      <c r="C14" s="38" t="n">
        <v>2048</v>
      </c>
      <c r="D14" s="38" t="n">
        <v>20</v>
      </c>
      <c r="E14" s="38" t="n">
        <v>16</v>
      </c>
      <c r="F14" s="38" t="n">
        <v>4</v>
      </c>
      <c r="G14" s="38" t="n">
        <v>1000</v>
      </c>
      <c r="H14" s="38" t="n">
        <v>256</v>
      </c>
      <c r="I14" s="38" t="n">
        <v>100</v>
      </c>
      <c r="J14" s="37" t="s">
        <v>197</v>
      </c>
      <c r="K14" s="37" t="s">
        <v>198</v>
      </c>
      <c r="L14" s="37" t="s">
        <v>199</v>
      </c>
      <c r="M14" s="38" t="n">
        <v>1011262440</v>
      </c>
      <c r="N14" s="32" t="n">
        <f aca="false">IF(J14="amp_bf16",2,4)</f>
        <v>2</v>
      </c>
      <c r="O14" s="32" t="n">
        <f aca="false">H14*I14*C14</f>
        <v>52428800</v>
      </c>
      <c r="P14" s="32" t="n">
        <f aca="false">H14*I14*F14*C14</f>
        <v>209715200</v>
      </c>
      <c r="Q14" s="32" t="n">
        <f aca="false">9*O14*N14+2*P14*N14+2*O14+P14</f>
        <v>2097152000</v>
      </c>
      <c r="R14" s="32" t="n">
        <f aca="false">O14*N14+H14*I14*G14*N14+IF(J14="amp_bf16",H14*I14*G14*4,0)</f>
        <v>258457600</v>
      </c>
      <c r="S14" s="32" t="n">
        <f aca="false">Q14*D14+R14</f>
        <v>42201497600</v>
      </c>
      <c r="T14" s="32" t="n">
        <f aca="false">(D14+3)*O14*4+7*O14*N14+3*P14*N14+O14+H14*I14*G14*N14</f>
        <v>6919372800</v>
      </c>
      <c r="U14" s="32" t="n">
        <f aca="false">(2*F14*C14+3*C14)*H14*I14*N14</f>
        <v>1153433600</v>
      </c>
      <c r="V14" s="35" t="n">
        <f aca="false">M14*4/1000000000</f>
        <v>4.04504976</v>
      </c>
      <c r="W14" s="35" t="n">
        <f aca="false">M14*4/1000000000</f>
        <v>4.04504976</v>
      </c>
      <c r="X14" s="35" t="n">
        <f aca="false">M14*IF(K14="adam8bit",2,8)/1000000000</f>
        <v>8.09009952</v>
      </c>
      <c r="Y14" s="35" t="n">
        <f aca="false">IF(J14="amp_bf16",M14*2,0)/1000000000</f>
        <v>2.02252488</v>
      </c>
      <c r="Z14" s="35" t="n">
        <f aca="false">IF(L14="Yes",T14,S14)/1000000000</f>
        <v>42.2014976</v>
      </c>
      <c r="AA14" s="35" t="n">
        <f aca="false">V14+X14+T14/1000000000</f>
        <v>19.05452208</v>
      </c>
      <c r="AB14" s="35" t="n">
        <f aca="false">V14+W14+X14+IF(K14="adam",W14,0)</f>
        <v>20.2252488</v>
      </c>
      <c r="AC14" s="35" t="n">
        <f aca="false">V14+X14+Y14+D14*O14*4/1000000000+U14/1000000000+(H14*I14*G14*N14+IF(J14="amp_bf16",H14*I14*G14*4,0))/1000000000</f>
        <v>19.65901176</v>
      </c>
      <c r="AD14" s="35" t="n">
        <f aca="false">IF(L14="Yes",MAX(AA14,AB14,AC14),V14+W14+X14+Y14+Z14)</f>
        <v>60.40422152</v>
      </c>
      <c r="AE14" s="35" t="n">
        <f aca="false">AD14+0.6+IF(L14="Yes",5.2,1.2)</f>
        <v>62.20422152</v>
      </c>
      <c r="AF14" s="35" t="str">
        <f aca="false">IF(AE14&gt;$C$3,"OOM","fits")</f>
        <v>fits</v>
      </c>
      <c r="AG14" s="39" t="n">
        <v>59.2206</v>
      </c>
      <c r="AH14" s="39" t="n">
        <v>60.1673</v>
      </c>
      <c r="AI14" s="40" t="n">
        <f aca="false">IF(ISNUMBER(AG14),(AD14-AG14)/AG14,"")</f>
        <v>0.0199866519420609</v>
      </c>
    </row>
    <row r="15" customFormat="false" ht="15" hidden="false" customHeight="true" outlineLevel="0" collapsed="false">
      <c r="A15" s="37" t="s">
        <v>209</v>
      </c>
      <c r="B15" s="37" t="s">
        <v>210</v>
      </c>
      <c r="C15" s="38" t="n">
        <v>2048</v>
      </c>
      <c r="D15" s="38" t="n">
        <v>20</v>
      </c>
      <c r="E15" s="38" t="n">
        <v>16</v>
      </c>
      <c r="F15" s="38" t="n">
        <v>4</v>
      </c>
      <c r="G15" s="38" t="n">
        <v>1000</v>
      </c>
      <c r="H15" s="38" t="n">
        <v>256</v>
      </c>
      <c r="I15" s="38" t="n">
        <v>100</v>
      </c>
      <c r="J15" s="37" t="s">
        <v>197</v>
      </c>
      <c r="K15" s="37" t="s">
        <v>210</v>
      </c>
      <c r="L15" s="37" t="s">
        <v>199</v>
      </c>
      <c r="M15" s="38" t="n">
        <v>1011262440</v>
      </c>
      <c r="N15" s="32" t="n">
        <f aca="false">IF(J15="amp_bf16",2,4)</f>
        <v>2</v>
      </c>
      <c r="O15" s="32" t="n">
        <f aca="false">H15*I15*C15</f>
        <v>52428800</v>
      </c>
      <c r="P15" s="32" t="n">
        <f aca="false">H15*I15*F15*C15</f>
        <v>209715200</v>
      </c>
      <c r="Q15" s="32" t="n">
        <f aca="false">9*O15*N15+2*P15*N15+2*O15+P15</f>
        <v>2097152000</v>
      </c>
      <c r="R15" s="32" t="n">
        <f aca="false">O15*N15+H15*I15*G15*N15+IF(J15="amp_bf16",H15*I15*G15*4,0)</f>
        <v>258457600</v>
      </c>
      <c r="S15" s="32" t="n">
        <f aca="false">Q15*D15+R15</f>
        <v>42201497600</v>
      </c>
      <c r="T15" s="32" t="n">
        <f aca="false">(D15+3)*O15*4+7*O15*N15+3*P15*N15+O15+H15*I15*G15*N15</f>
        <v>6919372800</v>
      </c>
      <c r="U15" s="32" t="n">
        <f aca="false">(2*F15*C15+3*C15)*H15*I15*N15</f>
        <v>1153433600</v>
      </c>
      <c r="V15" s="35" t="n">
        <f aca="false">M15*4/1000000000</f>
        <v>4.04504976</v>
      </c>
      <c r="W15" s="35" t="n">
        <f aca="false">M15*4/1000000000</f>
        <v>4.04504976</v>
      </c>
      <c r="X15" s="35" t="n">
        <f aca="false">M15*IF(K15="adam8bit",2,8)/1000000000</f>
        <v>2.02252488</v>
      </c>
      <c r="Y15" s="35" t="n">
        <f aca="false">IF(J15="amp_bf16",M15*2,0)/1000000000</f>
        <v>2.02252488</v>
      </c>
      <c r="Z15" s="35" t="n">
        <f aca="false">IF(L15="Yes",T15,S15)/1000000000</f>
        <v>42.2014976</v>
      </c>
      <c r="AA15" s="35" t="n">
        <f aca="false">V15+X15+T15/1000000000</f>
        <v>12.98694744</v>
      </c>
      <c r="AB15" s="35" t="n">
        <f aca="false">V15+W15+X15+IF(K15="adam",W15,0)</f>
        <v>10.1126244</v>
      </c>
      <c r="AC15" s="35" t="n">
        <f aca="false">V15+X15+Y15+D15*O15*4/1000000000+U15/1000000000+(H15*I15*G15*N15+IF(J15="amp_bf16",H15*I15*G15*4,0))/1000000000</f>
        <v>13.59143712</v>
      </c>
      <c r="AD15" s="35" t="n">
        <f aca="false">IF(L15="Yes",MAX(AA15,AB15,AC15),V15+W15+X15+Y15+Z15)</f>
        <v>54.33664688</v>
      </c>
      <c r="AE15" s="35" t="n">
        <f aca="false">AD15+0.6+IF(L15="Yes",5.2,1.2)</f>
        <v>56.13664688</v>
      </c>
      <c r="AF15" s="35" t="str">
        <f aca="false">IF(AE15&gt;$C$3,"OOM","fits")</f>
        <v>fits</v>
      </c>
      <c r="AG15" s="39" t="n">
        <v>53.1814</v>
      </c>
      <c r="AH15" s="39" t="n">
        <v>54.2932</v>
      </c>
      <c r="AI15" s="40" t="n">
        <f aca="false">IF(ISNUMBER(AG15),(AD15-AG15)/AG15,"")</f>
        <v>0.0217227617174427</v>
      </c>
    </row>
    <row r="16" customFormat="false" ht="15" hidden="false" customHeight="true" outlineLevel="0" collapsed="false">
      <c r="A16" s="37" t="s">
        <v>211</v>
      </c>
      <c r="B16" s="37" t="s">
        <v>212</v>
      </c>
      <c r="C16" s="38" t="n">
        <v>2048</v>
      </c>
      <c r="D16" s="38" t="n">
        <v>20</v>
      </c>
      <c r="E16" s="38" t="n">
        <v>16</v>
      </c>
      <c r="F16" s="38" t="n">
        <v>4</v>
      </c>
      <c r="G16" s="38" t="n">
        <v>1000</v>
      </c>
      <c r="H16" s="38" t="n">
        <v>256</v>
      </c>
      <c r="I16" s="38" t="n">
        <v>100</v>
      </c>
      <c r="J16" s="37" t="s">
        <v>197</v>
      </c>
      <c r="K16" s="37" t="s">
        <v>198</v>
      </c>
      <c r="L16" s="37" t="s">
        <v>199</v>
      </c>
      <c r="M16" s="38" t="n">
        <v>1011262440</v>
      </c>
      <c r="N16" s="32" t="n">
        <f aca="false">IF(J16="amp_bf16",2,4)</f>
        <v>2</v>
      </c>
      <c r="O16" s="32" t="n">
        <f aca="false">H16*I16*C16</f>
        <v>52428800</v>
      </c>
      <c r="P16" s="32" t="n">
        <f aca="false">H16*I16*F16*C16</f>
        <v>209715200</v>
      </c>
      <c r="Q16" s="32" t="n">
        <f aca="false">9*O16*N16+2*P16*N16+2*O16+P16</f>
        <v>2097152000</v>
      </c>
      <c r="R16" s="32" t="n">
        <f aca="false">O16*N16+H16*I16*G16*N16+IF(J16="amp_bf16",H16*I16*G16*4,0)</f>
        <v>258457600</v>
      </c>
      <c r="S16" s="32" t="n">
        <f aca="false">Q16*D16+R16</f>
        <v>42201497600</v>
      </c>
      <c r="T16" s="32" t="n">
        <f aca="false">(D16+3)*O16*4+7*O16*N16+3*P16*N16+O16+H16*I16*G16*N16</f>
        <v>6919372800</v>
      </c>
      <c r="U16" s="32" t="n">
        <f aca="false">(2*F16*C16+3*C16)*H16*I16*N16</f>
        <v>1153433600</v>
      </c>
      <c r="V16" s="35" t="n">
        <f aca="false">M16*4/1000000000</f>
        <v>4.04504976</v>
      </c>
      <c r="W16" s="35" t="n">
        <f aca="false">M16*4/1000000000</f>
        <v>4.04504976</v>
      </c>
      <c r="X16" s="35" t="n">
        <f aca="false">M16*IF(K16="adam8bit",2,8)/1000000000</f>
        <v>8.09009952</v>
      </c>
      <c r="Y16" s="35" t="n">
        <f aca="false">IF(J16="amp_bf16",M16*2,0)/1000000000</f>
        <v>2.02252488</v>
      </c>
      <c r="Z16" s="35" t="n">
        <f aca="false">IF(L16="Yes",T16,S16)/1000000000</f>
        <v>42.2014976</v>
      </c>
      <c r="AA16" s="35" t="n">
        <f aca="false">V16+X16+T16/1000000000</f>
        <v>19.05452208</v>
      </c>
      <c r="AB16" s="35" t="n">
        <f aca="false">V16+W16+X16+IF(K16="adam",W16,0)</f>
        <v>20.2252488</v>
      </c>
      <c r="AC16" s="35" t="n">
        <f aca="false">V16+X16+Y16+D16*O16*4/1000000000+U16/1000000000+(H16*I16*G16*N16+IF(J16="amp_bf16",H16*I16*G16*4,0))/1000000000</f>
        <v>19.65901176</v>
      </c>
      <c r="AD16" s="35" t="n">
        <f aca="false">IF(L16="Yes",MAX(AA16,AB16,AC16),V16+W16+X16+Y16+Z16)</f>
        <v>60.40422152</v>
      </c>
      <c r="AE16" s="35" t="n">
        <f aca="false">AD16+0.6+IF(L16="Yes",5.2,1.2)</f>
        <v>62.20422152</v>
      </c>
      <c r="AF16" s="35" t="str">
        <f aca="false">IF(AE16&gt;$C$3,"OOM","fits")</f>
        <v>fits</v>
      </c>
      <c r="AG16" s="39" t="n">
        <v>59.2206</v>
      </c>
      <c r="AH16" s="39" t="n">
        <v>60.1673</v>
      </c>
      <c r="AI16" s="40" t="n">
        <f aca="false">IF(ISNUMBER(AG16),(AD16-AG16)/AG16,"")</f>
        <v>0.0199866519420609</v>
      </c>
    </row>
    <row r="17" customFormat="false" ht="15" hidden="false" customHeight="true" outlineLevel="0" collapsed="false">
      <c r="A17" s="37" t="s">
        <v>211</v>
      </c>
      <c r="B17" s="37" t="s">
        <v>213</v>
      </c>
      <c r="C17" s="38" t="n">
        <v>2048</v>
      </c>
      <c r="D17" s="38" t="n">
        <v>20</v>
      </c>
      <c r="E17" s="38" t="n">
        <v>16</v>
      </c>
      <c r="F17" s="38" t="n">
        <v>4</v>
      </c>
      <c r="G17" s="38" t="n">
        <v>1000</v>
      </c>
      <c r="H17" s="38" t="n">
        <v>256</v>
      </c>
      <c r="I17" s="38" t="n">
        <v>100</v>
      </c>
      <c r="J17" s="37" t="s">
        <v>197</v>
      </c>
      <c r="K17" s="37" t="s">
        <v>198</v>
      </c>
      <c r="L17" s="37" t="s">
        <v>214</v>
      </c>
      <c r="M17" s="38" t="n">
        <v>1011262440</v>
      </c>
      <c r="N17" s="32" t="n">
        <f aca="false">IF(J17="amp_bf16",2,4)</f>
        <v>2</v>
      </c>
      <c r="O17" s="32" t="n">
        <f aca="false">H17*I17*C17</f>
        <v>52428800</v>
      </c>
      <c r="P17" s="32" t="n">
        <f aca="false">H17*I17*F17*C17</f>
        <v>209715200</v>
      </c>
      <c r="Q17" s="32" t="n">
        <f aca="false">9*O17*N17+2*P17*N17+2*O17+P17</f>
        <v>2097152000</v>
      </c>
      <c r="R17" s="32" t="n">
        <f aca="false">O17*N17+H17*I17*G17*N17+IF(J17="amp_bf16",H17*I17*G17*4,0)</f>
        <v>258457600</v>
      </c>
      <c r="S17" s="32" t="n">
        <f aca="false">Q17*D17+R17</f>
        <v>42201497600</v>
      </c>
      <c r="T17" s="32" t="n">
        <f aca="false">(D17+3)*O17*4+7*O17*N17+3*P17*N17+O17+H17*I17*G17*N17</f>
        <v>6919372800</v>
      </c>
      <c r="U17" s="32" t="n">
        <f aca="false">(2*F17*C17+3*C17)*H17*I17*N17</f>
        <v>1153433600</v>
      </c>
      <c r="V17" s="35" t="n">
        <f aca="false">M17*4/1000000000</f>
        <v>4.04504976</v>
      </c>
      <c r="W17" s="35" t="n">
        <f aca="false">M17*4/1000000000</f>
        <v>4.04504976</v>
      </c>
      <c r="X17" s="35" t="n">
        <f aca="false">M17*IF(K17="adam8bit",2,8)/1000000000</f>
        <v>8.09009952</v>
      </c>
      <c r="Y17" s="35" t="n">
        <f aca="false">IF(J17="amp_bf16",M17*2,0)/1000000000</f>
        <v>2.02252488</v>
      </c>
      <c r="Z17" s="35" t="n">
        <f aca="false">IF(L17="Yes",T17,S17)/1000000000</f>
        <v>6.9193728</v>
      </c>
      <c r="AA17" s="35" t="n">
        <f aca="false">V17+X17+T17/1000000000</f>
        <v>19.05452208</v>
      </c>
      <c r="AB17" s="35" t="n">
        <f aca="false">V17+W17+X17+IF(K17="adam",W17,0)</f>
        <v>20.2252488</v>
      </c>
      <c r="AC17" s="35" t="n">
        <f aca="false">V17+X17+Y17+D17*O17*4/1000000000+U17/1000000000+(H17*I17*G17*N17+IF(J17="amp_bf16",H17*I17*G17*4,0))/1000000000</f>
        <v>19.65901176</v>
      </c>
      <c r="AD17" s="35" t="n">
        <f aca="false">IF(L17="Yes",MAX(AA17,AB17,AC17),V17+W17+X17+Y17+Z17)</f>
        <v>20.2252488</v>
      </c>
      <c r="AE17" s="35" t="n">
        <f aca="false">AD17+0.6+IF(L17="Yes",5.2,1.2)</f>
        <v>26.0252488</v>
      </c>
      <c r="AF17" s="35" t="str">
        <f aca="false">IF(AE17&gt;$C$3,"OOM","fits")</f>
        <v>fits</v>
      </c>
      <c r="AG17" s="39" t="n">
        <v>20.3462</v>
      </c>
      <c r="AH17" s="39" t="n">
        <v>26.4619</v>
      </c>
      <c r="AI17" s="40" t="n">
        <f aca="false">IF(ISNUMBER(AG17),(AD17-AG17)/AG17,"")</f>
        <v>-0.00594465797052997</v>
      </c>
    </row>
    <row r="18" customFormat="false" ht="15" hidden="false" customHeight="true" outlineLevel="0" collapsed="false">
      <c r="A18" s="37" t="s">
        <v>215</v>
      </c>
      <c r="B18" s="37" t="s">
        <v>201</v>
      </c>
      <c r="C18" s="38" t="n">
        <v>2048</v>
      </c>
      <c r="D18" s="38" t="n">
        <v>20</v>
      </c>
      <c r="E18" s="38" t="n">
        <v>16</v>
      </c>
      <c r="F18" s="38" t="n">
        <v>4</v>
      </c>
      <c r="G18" s="38" t="n">
        <v>1000</v>
      </c>
      <c r="H18" s="38" t="n">
        <v>256</v>
      </c>
      <c r="I18" s="38" t="n">
        <v>100</v>
      </c>
      <c r="J18" s="37" t="s">
        <v>197</v>
      </c>
      <c r="K18" s="37" t="s">
        <v>198</v>
      </c>
      <c r="L18" s="37" t="s">
        <v>214</v>
      </c>
      <c r="M18" s="38" t="n">
        <v>1011262440</v>
      </c>
      <c r="N18" s="32" t="n">
        <f aca="false">IF(J18="amp_bf16",2,4)</f>
        <v>2</v>
      </c>
      <c r="O18" s="32" t="n">
        <f aca="false">H18*I18*C18</f>
        <v>52428800</v>
      </c>
      <c r="P18" s="32" t="n">
        <f aca="false">H18*I18*F18*C18</f>
        <v>209715200</v>
      </c>
      <c r="Q18" s="32" t="n">
        <f aca="false">9*O18*N18+2*P18*N18+2*O18+P18</f>
        <v>2097152000</v>
      </c>
      <c r="R18" s="32" t="n">
        <f aca="false">O18*N18+H18*I18*G18*N18+IF(J18="amp_bf16",H18*I18*G18*4,0)</f>
        <v>258457600</v>
      </c>
      <c r="S18" s="32" t="n">
        <f aca="false">Q18*D18+R18</f>
        <v>42201497600</v>
      </c>
      <c r="T18" s="32" t="n">
        <f aca="false">(D18+3)*O18*4+7*O18*N18+3*P18*N18+O18+H18*I18*G18*N18</f>
        <v>6919372800</v>
      </c>
      <c r="U18" s="32" t="n">
        <f aca="false">(2*F18*C18+3*C18)*H18*I18*N18</f>
        <v>1153433600</v>
      </c>
      <c r="V18" s="35" t="n">
        <f aca="false">M18*4/1000000000</f>
        <v>4.04504976</v>
      </c>
      <c r="W18" s="35" t="n">
        <f aca="false">M18*4/1000000000</f>
        <v>4.04504976</v>
      </c>
      <c r="X18" s="35" t="n">
        <f aca="false">M18*IF(K18="adam8bit",2,8)/1000000000</f>
        <v>8.09009952</v>
      </c>
      <c r="Y18" s="35" t="n">
        <f aca="false">IF(J18="amp_bf16",M18*2,0)/1000000000</f>
        <v>2.02252488</v>
      </c>
      <c r="Z18" s="35" t="n">
        <f aca="false">IF(L18="Yes",T18,S18)/1000000000</f>
        <v>6.9193728</v>
      </c>
      <c r="AA18" s="35" t="n">
        <f aca="false">V18+X18+T18/1000000000</f>
        <v>19.05452208</v>
      </c>
      <c r="AB18" s="35" t="n">
        <f aca="false">V18+W18+X18+IF(K18="adam",W18,0)</f>
        <v>20.2252488</v>
      </c>
      <c r="AC18" s="35" t="n">
        <f aca="false">V18+X18+Y18+D18*O18*4/1000000000+U18/1000000000+(H18*I18*G18*N18+IF(J18="amp_bf16",H18*I18*G18*4,0))/1000000000</f>
        <v>19.65901176</v>
      </c>
      <c r="AD18" s="35" t="n">
        <f aca="false">IF(L18="Yes",MAX(AA18,AB18,AC18),V18+W18+X18+Y18+Z18)</f>
        <v>20.2252488</v>
      </c>
      <c r="AE18" s="35" t="n">
        <f aca="false">AD18+0.6+IF(L18="Yes",5.2,1.2)</f>
        <v>26.0252488</v>
      </c>
      <c r="AF18" s="35" t="str">
        <f aca="false">IF(AE18&gt;$C$3,"OOM","fits")</f>
        <v>fits</v>
      </c>
      <c r="AG18" s="39" t="n">
        <v>20.3462</v>
      </c>
      <c r="AH18" s="39" t="n">
        <v>26.4619</v>
      </c>
      <c r="AI18" s="40" t="n">
        <f aca="false">IF(ISNUMBER(AG18),(AD18-AG18)/AG18,"")</f>
        <v>-0.00594465797052997</v>
      </c>
    </row>
    <row r="19" customFormat="false" ht="15" hidden="false" customHeight="true" outlineLevel="0" collapsed="false">
      <c r="A19" s="37" t="s">
        <v>215</v>
      </c>
      <c r="B19" s="37" t="s">
        <v>202</v>
      </c>
      <c r="C19" s="38" t="n">
        <v>2048</v>
      </c>
      <c r="D19" s="38" t="n">
        <v>20</v>
      </c>
      <c r="E19" s="38" t="n">
        <v>16</v>
      </c>
      <c r="F19" s="38" t="n">
        <v>4</v>
      </c>
      <c r="G19" s="38" t="n">
        <v>1000</v>
      </c>
      <c r="H19" s="38" t="n">
        <v>1024</v>
      </c>
      <c r="I19" s="38" t="n">
        <v>100</v>
      </c>
      <c r="J19" s="37" t="s">
        <v>197</v>
      </c>
      <c r="K19" s="37" t="s">
        <v>198</v>
      </c>
      <c r="L19" s="37" t="s">
        <v>214</v>
      </c>
      <c r="M19" s="38" t="n">
        <v>1011262440</v>
      </c>
      <c r="N19" s="32" t="n">
        <f aca="false">IF(J19="amp_bf16",2,4)</f>
        <v>2</v>
      </c>
      <c r="O19" s="32" t="n">
        <f aca="false">H19*I19*C19</f>
        <v>209715200</v>
      </c>
      <c r="P19" s="32" t="n">
        <f aca="false">H19*I19*F19*C19</f>
        <v>838860800</v>
      </c>
      <c r="Q19" s="32" t="n">
        <f aca="false">9*O19*N19+2*P19*N19+2*O19+P19</f>
        <v>8388608000</v>
      </c>
      <c r="R19" s="32" t="n">
        <f aca="false">O19*N19+H19*I19*G19*N19+IF(J19="amp_bf16",H19*I19*G19*4,0)</f>
        <v>1033830400</v>
      </c>
      <c r="S19" s="32" t="n">
        <f aca="false">Q19*D19+R19</f>
        <v>168805990400</v>
      </c>
      <c r="T19" s="32" t="n">
        <f aca="false">(D19+3)*O19*4+7*O19*N19+3*P19*N19+O19+H19*I19*G19*N19</f>
        <v>27677491200</v>
      </c>
      <c r="U19" s="32" t="n">
        <f aca="false">(2*F19*C19+3*C19)*H19*I19*N19</f>
        <v>4613734400</v>
      </c>
      <c r="V19" s="35" t="n">
        <f aca="false">M19*4/1000000000</f>
        <v>4.04504976</v>
      </c>
      <c r="W19" s="35" t="n">
        <f aca="false">M19*4/1000000000</f>
        <v>4.04504976</v>
      </c>
      <c r="X19" s="35" t="n">
        <f aca="false">M19*IF(K19="adam8bit",2,8)/1000000000</f>
        <v>8.09009952</v>
      </c>
      <c r="Y19" s="35" t="n">
        <f aca="false">IF(J19="amp_bf16",M19*2,0)/1000000000</f>
        <v>2.02252488</v>
      </c>
      <c r="Z19" s="35" t="n">
        <f aca="false">IF(L19="Yes",T19,S19)/1000000000</f>
        <v>27.6774912</v>
      </c>
      <c r="AA19" s="35" t="n">
        <f aca="false">V19+X19+T19/1000000000</f>
        <v>39.81264048</v>
      </c>
      <c r="AB19" s="35" t="n">
        <f aca="false">V19+W19+X19+IF(K19="adam",W19,0)</f>
        <v>20.2252488</v>
      </c>
      <c r="AC19" s="35" t="n">
        <f aca="false">V19+X19+Y19+D19*O19*4/1000000000+U19/1000000000+(H19*I19*G19*N19+IF(J19="amp_bf16",H19*I19*G19*4,0))/1000000000</f>
        <v>36.16302456</v>
      </c>
      <c r="AD19" s="35" t="n">
        <f aca="false">IF(L19="Yes",MAX(AA19,AB19,AC19),V19+W19+X19+Y19+Z19)</f>
        <v>39.81264048</v>
      </c>
      <c r="AE19" s="35" t="n">
        <f aca="false">AD19+0.6+IF(L19="Yes",5.2,1.2)</f>
        <v>45.61264048</v>
      </c>
      <c r="AF19" s="35" t="str">
        <f aca="false">IF(AE19&gt;$C$3,"OOM","fits")</f>
        <v>fits</v>
      </c>
      <c r="AG19" s="39" t="n">
        <v>40.0338</v>
      </c>
      <c r="AH19" s="39" t="n">
        <v>44.3883</v>
      </c>
      <c r="AI19" s="40" t="n">
        <f aca="false">IF(ISNUMBER(AG19),(AD19-AG19)/AG19,"")</f>
        <v>-0.00552431994964257</v>
      </c>
    </row>
    <row r="20" customFormat="false" ht="15" hidden="false" customHeight="true" outlineLevel="0" collapsed="false">
      <c r="A20" s="37" t="s">
        <v>215</v>
      </c>
      <c r="B20" s="37" t="s">
        <v>204</v>
      </c>
      <c r="C20" s="38" t="n">
        <v>2048</v>
      </c>
      <c r="D20" s="38" t="n">
        <v>20</v>
      </c>
      <c r="E20" s="38" t="n">
        <v>16</v>
      </c>
      <c r="F20" s="38" t="n">
        <v>4</v>
      </c>
      <c r="G20" s="38" t="n">
        <v>1000</v>
      </c>
      <c r="H20" s="38" t="n">
        <v>4096</v>
      </c>
      <c r="I20" s="38" t="n">
        <v>100</v>
      </c>
      <c r="J20" s="37" t="s">
        <v>197</v>
      </c>
      <c r="K20" s="37" t="s">
        <v>198</v>
      </c>
      <c r="L20" s="37" t="s">
        <v>214</v>
      </c>
      <c r="M20" s="38" t="n">
        <v>1010728960</v>
      </c>
      <c r="N20" s="32" t="n">
        <f aca="false">IF(J20="amp_bf16",2,4)</f>
        <v>2</v>
      </c>
      <c r="O20" s="32" t="n">
        <f aca="false">H20*I20*C20</f>
        <v>838860800</v>
      </c>
      <c r="P20" s="32" t="n">
        <f aca="false">H20*I20*F20*C20</f>
        <v>3355443200</v>
      </c>
      <c r="Q20" s="32" t="n">
        <f aca="false">9*O20*N20+2*P20*N20+2*O20+P20</f>
        <v>33554432000</v>
      </c>
      <c r="R20" s="32" t="n">
        <f aca="false">O20*N20+H20*I20*G20*N20+IF(J20="amp_bf16",H20*I20*G20*4,0)</f>
        <v>4135321600</v>
      </c>
      <c r="S20" s="32" t="n">
        <f aca="false">Q20*D20+R20</f>
        <v>675223961600</v>
      </c>
      <c r="T20" s="32" t="n">
        <f aca="false">(D20+3)*O20*4+7*O20*N20+3*P20*N20+O20+H20*I20*G20*N20</f>
        <v>110709964800</v>
      </c>
      <c r="U20" s="32" t="n">
        <f aca="false">(2*F20*C20+3*C20)*H20*I20*N20</f>
        <v>18454937600</v>
      </c>
      <c r="V20" s="35" t="n">
        <f aca="false">M20*4/1000000000</f>
        <v>4.04291584</v>
      </c>
      <c r="W20" s="35" t="n">
        <f aca="false">M20*4/1000000000</f>
        <v>4.04291584</v>
      </c>
      <c r="X20" s="35" t="n">
        <f aca="false">M20*IF(K20="adam8bit",2,8)/1000000000</f>
        <v>8.08583168</v>
      </c>
      <c r="Y20" s="35" t="n">
        <f aca="false">IF(J20="amp_bf16",M20*2,0)/1000000000</f>
        <v>2.02145792</v>
      </c>
      <c r="Z20" s="35" t="n">
        <f aca="false">IF(L20="Yes",T20,S20)/1000000000</f>
        <v>110.7099648</v>
      </c>
      <c r="AA20" s="35" t="n">
        <f aca="false">V20+X20+T20/1000000000</f>
        <v>122.83871232</v>
      </c>
      <c r="AB20" s="35" t="n">
        <f aca="false">V20+W20+X20+IF(K20="adam",W20,0)</f>
        <v>20.2145792</v>
      </c>
      <c r="AC20" s="35" t="n">
        <f aca="false">V20+X20+Y20+D20*O20*4/1000000000+U20/1000000000+(H20*I20*G20*N20+IF(J20="amp_bf16",H20*I20*G20*4,0))/1000000000</f>
        <v>102.17160704</v>
      </c>
      <c r="AD20" s="35" t="n">
        <f aca="false">IF(L20="Yes",MAX(AA20,AB20,AC20),V20+W20+X20+Y20+Z20)</f>
        <v>122.83871232</v>
      </c>
      <c r="AE20" s="35" t="n">
        <f aca="false">AD20+0.6+IF(L20="Yes",5.2,1.2)</f>
        <v>128.63871232</v>
      </c>
      <c r="AF20" s="35" t="str">
        <f aca="false">IF(AE20&gt;$C$3,"OOM","fits")</f>
        <v>OOM</v>
      </c>
      <c r="AG20" s="39" t="s">
        <v>203</v>
      </c>
      <c r="AH20" s="39" t="s">
        <v>203</v>
      </c>
      <c r="AI20" s="40" t="str">
        <f aca="false">IF(ISNUMBER(AG20),(AD20-AG20)/AG20,"")</f>
        <v/>
      </c>
    </row>
    <row r="21" customFormat="false" ht="15" hidden="false" customHeight="true" outlineLevel="0" collapsed="false">
      <c r="A21" s="37" t="s">
        <v>216</v>
      </c>
      <c r="B21" s="37" t="s">
        <v>206</v>
      </c>
      <c r="C21" s="38" t="n">
        <v>2048</v>
      </c>
      <c r="D21" s="38" t="n">
        <v>20</v>
      </c>
      <c r="E21" s="38" t="n">
        <v>16</v>
      </c>
      <c r="F21" s="38" t="n">
        <v>4</v>
      </c>
      <c r="G21" s="38" t="n">
        <v>1000</v>
      </c>
      <c r="H21" s="38" t="n">
        <v>256</v>
      </c>
      <c r="I21" s="38" t="n">
        <v>100</v>
      </c>
      <c r="J21" s="37" t="s">
        <v>197</v>
      </c>
      <c r="K21" s="37" t="s">
        <v>198</v>
      </c>
      <c r="L21" s="37" t="s">
        <v>214</v>
      </c>
      <c r="M21" s="38" t="n">
        <v>1011262440</v>
      </c>
      <c r="N21" s="32" t="n">
        <f aca="false">IF(J21="amp_bf16",2,4)</f>
        <v>2</v>
      </c>
      <c r="O21" s="32" t="n">
        <f aca="false">H21*I21*C21</f>
        <v>52428800</v>
      </c>
      <c r="P21" s="32" t="n">
        <f aca="false">H21*I21*F21*C21</f>
        <v>209715200</v>
      </c>
      <c r="Q21" s="32" t="n">
        <f aca="false">9*O21*N21+2*P21*N21+2*O21+P21</f>
        <v>2097152000</v>
      </c>
      <c r="R21" s="32" t="n">
        <f aca="false">O21*N21+H21*I21*G21*N21+IF(J21="amp_bf16",H21*I21*G21*4,0)</f>
        <v>258457600</v>
      </c>
      <c r="S21" s="32" t="n">
        <f aca="false">Q21*D21+R21</f>
        <v>42201497600</v>
      </c>
      <c r="T21" s="32" t="n">
        <f aca="false">(D21+3)*O21*4+7*O21*N21+3*P21*N21+O21+H21*I21*G21*N21</f>
        <v>6919372800</v>
      </c>
      <c r="U21" s="32" t="n">
        <f aca="false">(2*F21*C21+3*C21)*H21*I21*N21</f>
        <v>1153433600</v>
      </c>
      <c r="V21" s="35" t="n">
        <f aca="false">M21*4/1000000000</f>
        <v>4.04504976</v>
      </c>
      <c r="W21" s="35" t="n">
        <f aca="false">M21*4/1000000000</f>
        <v>4.04504976</v>
      </c>
      <c r="X21" s="35" t="n">
        <f aca="false">M21*IF(K21="adam8bit",2,8)/1000000000</f>
        <v>8.09009952</v>
      </c>
      <c r="Y21" s="35" t="n">
        <f aca="false">IF(J21="amp_bf16",M21*2,0)/1000000000</f>
        <v>2.02252488</v>
      </c>
      <c r="Z21" s="35" t="n">
        <f aca="false">IF(L21="Yes",T21,S21)/1000000000</f>
        <v>6.9193728</v>
      </c>
      <c r="AA21" s="35" t="n">
        <f aca="false">V21+X21+T21/1000000000</f>
        <v>19.05452208</v>
      </c>
      <c r="AB21" s="35" t="n">
        <f aca="false">V21+W21+X21+IF(K21="adam",W21,0)</f>
        <v>20.2252488</v>
      </c>
      <c r="AC21" s="35" t="n">
        <f aca="false">V21+X21+Y21+D21*O21*4/1000000000+U21/1000000000+(H21*I21*G21*N21+IF(J21="amp_bf16",H21*I21*G21*4,0))/1000000000</f>
        <v>19.65901176</v>
      </c>
      <c r="AD21" s="35" t="n">
        <f aca="false">IF(L21="Yes",MAX(AA21,AB21,AC21),V21+W21+X21+Y21+Z21)</f>
        <v>20.2252488</v>
      </c>
      <c r="AE21" s="35" t="n">
        <f aca="false">AD21+0.6+IF(L21="Yes",5.2,1.2)</f>
        <v>26.0252488</v>
      </c>
      <c r="AF21" s="35" t="str">
        <f aca="false">IF(AE21&gt;$C$3,"OOM","fits")</f>
        <v>fits</v>
      </c>
      <c r="AG21" s="39" t="n">
        <v>20.3462</v>
      </c>
      <c r="AH21" s="39" t="n">
        <v>26.4619</v>
      </c>
      <c r="AI21" s="40" t="n">
        <f aca="false">IF(ISNUMBER(AG21),(AD21-AG21)/AG21,"")</f>
        <v>-0.00594465797052997</v>
      </c>
    </row>
    <row r="22" customFormat="false" ht="15" hidden="false" customHeight="true" outlineLevel="0" collapsed="false">
      <c r="A22" s="37" t="s">
        <v>216</v>
      </c>
      <c r="B22" s="37" t="s">
        <v>207</v>
      </c>
      <c r="C22" s="38" t="n">
        <v>2048</v>
      </c>
      <c r="D22" s="38" t="n">
        <v>20</v>
      </c>
      <c r="E22" s="38" t="n">
        <v>16</v>
      </c>
      <c r="F22" s="38" t="n">
        <v>4</v>
      </c>
      <c r="G22" s="38" t="n">
        <v>1000</v>
      </c>
      <c r="H22" s="38" t="n">
        <v>256</v>
      </c>
      <c r="I22" s="38" t="n">
        <v>512</v>
      </c>
      <c r="J22" s="37" t="s">
        <v>197</v>
      </c>
      <c r="K22" s="37" t="s">
        <v>198</v>
      </c>
      <c r="L22" s="37" t="s">
        <v>214</v>
      </c>
      <c r="M22" s="38" t="n">
        <v>1011262440</v>
      </c>
      <c r="N22" s="32" t="n">
        <f aca="false">IF(J22="amp_bf16",2,4)</f>
        <v>2</v>
      </c>
      <c r="O22" s="32" t="n">
        <f aca="false">H22*I22*C22</f>
        <v>268435456</v>
      </c>
      <c r="P22" s="32" t="n">
        <f aca="false">H22*I22*F22*C22</f>
        <v>1073741824</v>
      </c>
      <c r="Q22" s="32" t="n">
        <f aca="false">9*O22*N22+2*P22*N22+2*O22+P22</f>
        <v>10737418240</v>
      </c>
      <c r="R22" s="32" t="n">
        <f aca="false">O22*N22+H22*I22*G22*N22+IF(J22="amp_bf16",H22*I22*G22*4,0)</f>
        <v>1323302912</v>
      </c>
      <c r="S22" s="32" t="n">
        <f aca="false">Q22*D22+R22</f>
        <v>216071667712</v>
      </c>
      <c r="T22" s="32" t="n">
        <f aca="false">(D22+3)*O22*4+7*O22*N22+3*P22*N22+O22+H22*I22*G22*N22</f>
        <v>35427188736</v>
      </c>
      <c r="U22" s="32" t="n">
        <f aca="false">(2*F22*C22+3*C22)*H22*I22*N22</f>
        <v>5905580032</v>
      </c>
      <c r="V22" s="35" t="n">
        <f aca="false">M22*4/1000000000</f>
        <v>4.04504976</v>
      </c>
      <c r="W22" s="35" t="n">
        <f aca="false">M22*4/1000000000</f>
        <v>4.04504976</v>
      </c>
      <c r="X22" s="35" t="n">
        <f aca="false">M22*IF(K22="adam8bit",2,8)/1000000000</f>
        <v>8.09009952</v>
      </c>
      <c r="Y22" s="35" t="n">
        <f aca="false">IF(J22="amp_bf16",M22*2,0)/1000000000</f>
        <v>2.02252488</v>
      </c>
      <c r="Z22" s="35" t="n">
        <f aca="false">IF(L22="Yes",T22,S22)/1000000000</f>
        <v>35.427188736</v>
      </c>
      <c r="AA22" s="35" t="n">
        <f aca="false">V22+X22+T22/1000000000</f>
        <v>47.562338016</v>
      </c>
      <c r="AB22" s="35" t="n">
        <f aca="false">V22+W22+X22+IF(K22="adam",W22,0)</f>
        <v>20.2252488</v>
      </c>
      <c r="AC22" s="35" t="n">
        <f aca="false">V22+X22+Y22+D22*O22*4/1000000000+U22/1000000000+(H22*I22*G22*N22+IF(J22="amp_bf16",H22*I22*G22*4,0))/1000000000</f>
        <v>42.324522672</v>
      </c>
      <c r="AD22" s="35" t="n">
        <f aca="false">IF(L22="Yes",MAX(AA22,AB22,AC22),V22+W22+X22+Y22+Z22)</f>
        <v>47.562338016</v>
      </c>
      <c r="AE22" s="35" t="n">
        <f aca="false">AD22+0.6+IF(L22="Yes",5.2,1.2)</f>
        <v>53.362338016</v>
      </c>
      <c r="AF22" s="35" t="str">
        <f aca="false">IF(AE22&gt;$C$3,"OOM","fits")</f>
        <v>fits</v>
      </c>
      <c r="AG22" s="39" t="n">
        <v>47.7896</v>
      </c>
      <c r="AH22" s="39" t="n">
        <v>51.3697</v>
      </c>
      <c r="AI22" s="40" t="n">
        <f aca="false">IF(ISNUMBER(AG22),(AD22-AG22)/AG22,"")</f>
        <v>-0.00475546947453006</v>
      </c>
    </row>
    <row r="23" customFormat="false" ht="15" hidden="false" customHeight="true" outlineLevel="0" collapsed="false">
      <c r="A23" s="37" t="s">
        <v>216</v>
      </c>
      <c r="B23" s="37" t="s">
        <v>202</v>
      </c>
      <c r="C23" s="38" t="n">
        <v>2048</v>
      </c>
      <c r="D23" s="38" t="n">
        <v>20</v>
      </c>
      <c r="E23" s="38" t="n">
        <v>16</v>
      </c>
      <c r="F23" s="38" t="n">
        <v>4</v>
      </c>
      <c r="G23" s="38" t="n">
        <v>1000</v>
      </c>
      <c r="H23" s="38" t="n">
        <v>256</v>
      </c>
      <c r="I23" s="38" t="n">
        <v>1024</v>
      </c>
      <c r="J23" s="37" t="s">
        <v>197</v>
      </c>
      <c r="K23" s="37" t="s">
        <v>198</v>
      </c>
      <c r="L23" s="37" t="s">
        <v>214</v>
      </c>
      <c r="M23" s="38" t="n">
        <v>1010728960</v>
      </c>
      <c r="N23" s="32" t="n">
        <f aca="false">IF(J23="amp_bf16",2,4)</f>
        <v>2</v>
      </c>
      <c r="O23" s="32" t="n">
        <f aca="false">H23*I23*C23</f>
        <v>536870912</v>
      </c>
      <c r="P23" s="32" t="n">
        <f aca="false">H23*I23*F23*C23</f>
        <v>2147483648</v>
      </c>
      <c r="Q23" s="32" t="n">
        <f aca="false">9*O23*N23+2*P23*N23+2*O23+P23</f>
        <v>21474836480</v>
      </c>
      <c r="R23" s="32" t="n">
        <f aca="false">O23*N23+H23*I23*G23*N23+IF(J23="amp_bf16",H23*I23*G23*4,0)</f>
        <v>2646605824</v>
      </c>
      <c r="S23" s="32" t="n">
        <f aca="false">Q23*D23+R23</f>
        <v>432143335424</v>
      </c>
      <c r="T23" s="32" t="n">
        <f aca="false">(D23+3)*O23*4+7*O23*N23+3*P23*N23+O23+H23*I23*G23*N23</f>
        <v>70854377472</v>
      </c>
      <c r="U23" s="32" t="n">
        <f aca="false">(2*F23*C23+3*C23)*H23*I23*N23</f>
        <v>11811160064</v>
      </c>
      <c r="V23" s="35" t="n">
        <f aca="false">M23*4/1000000000</f>
        <v>4.04291584</v>
      </c>
      <c r="W23" s="35" t="n">
        <f aca="false">M23*4/1000000000</f>
        <v>4.04291584</v>
      </c>
      <c r="X23" s="35" t="n">
        <f aca="false">M23*IF(K23="adam8bit",2,8)/1000000000</f>
        <v>8.08583168</v>
      </c>
      <c r="Y23" s="35" t="n">
        <f aca="false">IF(J23="amp_bf16",M23*2,0)/1000000000</f>
        <v>2.02145792</v>
      </c>
      <c r="Z23" s="35" t="n">
        <f aca="false">IF(L23="Yes",T23,S23)/1000000000</f>
        <v>70.854377472</v>
      </c>
      <c r="AA23" s="35" t="n">
        <f aca="false">V23+X23+T23/1000000000</f>
        <v>82.983124992</v>
      </c>
      <c r="AB23" s="35" t="n">
        <f aca="false">V23+W23+X23+IF(K23="adam",W23,0)</f>
        <v>20.2145792</v>
      </c>
      <c r="AC23" s="35" t="n">
        <f aca="false">V23+X23+Y23+D23*O23*4/1000000000+U23/1000000000+(H23*I23*G23*N23+IF(J23="amp_bf16",H23*I23*G23*4,0))/1000000000</f>
        <v>70.483902464</v>
      </c>
      <c r="AD23" s="35" t="n">
        <f aca="false">IF(L23="Yes",MAX(AA23,AB23,AC23),V23+W23+X23+Y23+Z23)</f>
        <v>82.983124992</v>
      </c>
      <c r="AE23" s="35" t="n">
        <f aca="false">AD23+0.6+IF(L23="Yes",5.2,1.2)</f>
        <v>88.783124992</v>
      </c>
      <c r="AF23" s="35" t="str">
        <f aca="false">IF(AE23&gt;$C$3,"OOM","fits")</f>
        <v>OOM</v>
      </c>
      <c r="AG23" s="39" t="s">
        <v>203</v>
      </c>
      <c r="AH23" s="39" t="s">
        <v>203</v>
      </c>
      <c r="AI23" s="40" t="str">
        <f aca="false">IF(ISNUMBER(AG23),(AD23-AG23)/AG23,"")</f>
        <v/>
      </c>
    </row>
    <row r="24" customFormat="false" ht="15" hidden="false" customHeight="true" outlineLevel="0" collapsed="false">
      <c r="A24" s="37" t="s">
        <v>216</v>
      </c>
      <c r="B24" s="37" t="s">
        <v>208</v>
      </c>
      <c r="C24" s="38" t="n">
        <v>2048</v>
      </c>
      <c r="D24" s="38" t="n">
        <v>20</v>
      </c>
      <c r="E24" s="38" t="n">
        <v>16</v>
      </c>
      <c r="F24" s="38" t="n">
        <v>4</v>
      </c>
      <c r="G24" s="38" t="n">
        <v>1000</v>
      </c>
      <c r="H24" s="38" t="n">
        <v>256</v>
      </c>
      <c r="I24" s="38" t="n">
        <v>2048</v>
      </c>
      <c r="J24" s="37" t="s">
        <v>197</v>
      </c>
      <c r="K24" s="37" t="s">
        <v>198</v>
      </c>
      <c r="L24" s="37" t="s">
        <v>214</v>
      </c>
      <c r="M24" s="38" t="n">
        <v>1010728960</v>
      </c>
      <c r="N24" s="32" t="n">
        <f aca="false">IF(J24="amp_bf16",2,4)</f>
        <v>2</v>
      </c>
      <c r="O24" s="32" t="n">
        <f aca="false">H24*I24*C24</f>
        <v>1073741824</v>
      </c>
      <c r="P24" s="32" t="n">
        <f aca="false">H24*I24*F24*C24</f>
        <v>4294967296</v>
      </c>
      <c r="Q24" s="32" t="n">
        <f aca="false">9*O24*N24+2*P24*N24+2*O24+P24</f>
        <v>42949672960</v>
      </c>
      <c r="R24" s="32" t="n">
        <f aca="false">O24*N24+H24*I24*G24*N24+IF(J24="amp_bf16",H24*I24*G24*4,0)</f>
        <v>5293211648</v>
      </c>
      <c r="S24" s="32" t="n">
        <f aca="false">Q24*D24+R24</f>
        <v>864286670848</v>
      </c>
      <c r="T24" s="32" t="n">
        <f aca="false">(D24+3)*O24*4+7*O24*N24+3*P24*N24+O24+H24*I24*G24*N24</f>
        <v>141708754944</v>
      </c>
      <c r="U24" s="32" t="n">
        <f aca="false">(2*F24*C24+3*C24)*H24*I24*N24</f>
        <v>23622320128</v>
      </c>
      <c r="V24" s="35" t="n">
        <f aca="false">M24*4/1000000000</f>
        <v>4.04291584</v>
      </c>
      <c r="W24" s="35" t="n">
        <f aca="false">M24*4/1000000000</f>
        <v>4.04291584</v>
      </c>
      <c r="X24" s="35" t="n">
        <f aca="false">M24*IF(K24="adam8bit",2,8)/1000000000</f>
        <v>8.08583168</v>
      </c>
      <c r="Y24" s="35" t="n">
        <f aca="false">IF(J24="amp_bf16",M24*2,0)/1000000000</f>
        <v>2.02145792</v>
      </c>
      <c r="Z24" s="35" t="n">
        <f aca="false">IF(L24="Yes",T24,S24)/1000000000</f>
        <v>141.708754944</v>
      </c>
      <c r="AA24" s="35" t="n">
        <f aca="false">V24+X24+T24/1000000000</f>
        <v>153.837502464</v>
      </c>
      <c r="AB24" s="35" t="n">
        <f aca="false">V24+W24+X24+IF(K24="adam",W24,0)</f>
        <v>20.2145792</v>
      </c>
      <c r="AC24" s="35" t="n">
        <f aca="false">V24+X24+Y24+D24*O24*4/1000000000+U24/1000000000+(H24*I24*G24*N24+IF(J24="amp_bf16",H24*I24*G24*4,0))/1000000000</f>
        <v>126.817599488</v>
      </c>
      <c r="AD24" s="35" t="n">
        <f aca="false">IF(L24="Yes",MAX(AA24,AB24,AC24),V24+W24+X24+Y24+Z24)</f>
        <v>153.837502464</v>
      </c>
      <c r="AE24" s="35" t="n">
        <f aca="false">AD24+0.6+IF(L24="Yes",5.2,1.2)</f>
        <v>159.637502464</v>
      </c>
      <c r="AF24" s="35" t="str">
        <f aca="false">IF(AE24&gt;$C$3,"OOM","fits")</f>
        <v>OOM</v>
      </c>
      <c r="AG24" s="39" t="s">
        <v>203</v>
      </c>
      <c r="AH24" s="39" t="s">
        <v>203</v>
      </c>
      <c r="AI24" s="40" t="str">
        <f aca="false">IF(ISNUMBER(AG24),(AD24-AG24)/AG24,"")</f>
        <v/>
      </c>
    </row>
    <row r="25" customFormat="false" ht="15" hidden="false" customHeight="true" outlineLevel="0" collapsed="false">
      <c r="A25" s="37" t="s">
        <v>217</v>
      </c>
      <c r="B25" s="37" t="s">
        <v>196</v>
      </c>
      <c r="C25" s="38" t="n">
        <v>2048</v>
      </c>
      <c r="D25" s="38" t="n">
        <v>20</v>
      </c>
      <c r="E25" s="38" t="n">
        <v>16</v>
      </c>
      <c r="F25" s="38" t="n">
        <v>4</v>
      </c>
      <c r="G25" s="38" t="n">
        <v>1000</v>
      </c>
      <c r="H25" s="38" t="n">
        <v>4096</v>
      </c>
      <c r="I25" s="38" t="n">
        <v>2048</v>
      </c>
      <c r="J25" s="37" t="s">
        <v>197</v>
      </c>
      <c r="K25" s="37" t="s">
        <v>198</v>
      </c>
      <c r="L25" s="37" t="s">
        <v>199</v>
      </c>
      <c r="M25" s="38" t="n">
        <v>1010728960</v>
      </c>
      <c r="N25" s="32" t="n">
        <f aca="false">IF(J25="amp_bf16",2,4)</f>
        <v>2</v>
      </c>
      <c r="O25" s="32" t="n">
        <f aca="false">H25*I25*C25</f>
        <v>17179869184</v>
      </c>
      <c r="P25" s="32" t="n">
        <f aca="false">H25*I25*F25*C25</f>
        <v>68719476736</v>
      </c>
      <c r="Q25" s="32" t="n">
        <f aca="false">9*O25*N25+2*P25*N25+2*O25+P25</f>
        <v>687194767360</v>
      </c>
      <c r="R25" s="32" t="n">
        <f aca="false">O25*N25+H25*I25*G25*N25+IF(J25="amp_bf16",H25*I25*G25*4,0)</f>
        <v>84691386368</v>
      </c>
      <c r="S25" s="32" t="n">
        <f aca="false">Q25*D25+R25</f>
        <v>13828586733568</v>
      </c>
      <c r="T25" s="32" t="n">
        <f aca="false">(D25+3)*O25*4+7*O25*N25+3*P25*N25+O25+H25*I25*G25*N25</f>
        <v>2267340079104</v>
      </c>
      <c r="U25" s="32" t="n">
        <f aca="false">(2*F25*C25+3*C25)*H25*I25*N25</f>
        <v>377957122048</v>
      </c>
      <c r="V25" s="35" t="n">
        <f aca="false">M25*4/1000000000</f>
        <v>4.04291584</v>
      </c>
      <c r="W25" s="35" t="n">
        <f aca="false">M25*4/1000000000</f>
        <v>4.04291584</v>
      </c>
      <c r="X25" s="35" t="n">
        <f aca="false">M25*IF(K25="adam8bit",2,8)/1000000000</f>
        <v>8.08583168</v>
      </c>
      <c r="Y25" s="35" t="n">
        <f aca="false">IF(J25="amp_bf16",M25*2,0)/1000000000</f>
        <v>2.02145792</v>
      </c>
      <c r="Z25" s="35" t="n">
        <f aca="false">IF(L25="Yes",T25,S25)/1000000000</f>
        <v>13828.586733568</v>
      </c>
      <c r="AA25" s="35" t="n">
        <f aca="false">V25+X25+T25/1000000000</f>
        <v>2279.468826624</v>
      </c>
      <c r="AB25" s="35" t="n">
        <f aca="false">V25+W25+X25+IF(K25="adam",W25,0)</f>
        <v>20.2145792</v>
      </c>
      <c r="AC25" s="35" t="n">
        <f aca="false">V25+X25+Y25+D25*O25*4/1000000000+U25/1000000000+(H25*I25*G25*N25+IF(J25="amp_bf16",H25*I25*G25*4,0))/1000000000</f>
        <v>1816.828510208</v>
      </c>
      <c r="AD25" s="35" t="n">
        <f aca="false">IF(L25="Yes",MAX(AA25,AB25,AC25),V25+W25+X25+Y25+Z25)</f>
        <v>13846.779854848</v>
      </c>
      <c r="AE25" s="35" t="n">
        <f aca="false">AD25+0.6+IF(L25="Yes",5.2,1.2)</f>
        <v>13848.579854848</v>
      </c>
      <c r="AF25" s="35" t="str">
        <f aca="false">IF(AE25&gt;$C$3,"OOM","fits")</f>
        <v>OOM</v>
      </c>
      <c r="AG25" s="39" t="s">
        <v>203</v>
      </c>
      <c r="AH25" s="39" t="s">
        <v>203</v>
      </c>
      <c r="AI25" s="40" t="str">
        <f aca="false">IF(ISNUMBER(AG25),(AD25-AG25)/AG25,"")</f>
        <v/>
      </c>
    </row>
    <row r="26" customFormat="false" ht="15" hidden="false" customHeight="true" outlineLevel="0" collapsed="false">
      <c r="A26" s="37" t="s">
        <v>217</v>
      </c>
      <c r="B26" s="37" t="s">
        <v>210</v>
      </c>
      <c r="C26" s="38" t="n">
        <v>2048</v>
      </c>
      <c r="D26" s="38" t="n">
        <v>20</v>
      </c>
      <c r="E26" s="38" t="n">
        <v>16</v>
      </c>
      <c r="F26" s="38" t="n">
        <v>4</v>
      </c>
      <c r="G26" s="38" t="n">
        <v>1000</v>
      </c>
      <c r="H26" s="38" t="n">
        <v>4096</v>
      </c>
      <c r="I26" s="38" t="n">
        <v>2048</v>
      </c>
      <c r="J26" s="37" t="s">
        <v>197</v>
      </c>
      <c r="K26" s="37" t="s">
        <v>210</v>
      </c>
      <c r="L26" s="37" t="s">
        <v>199</v>
      </c>
      <c r="M26" s="38" t="n">
        <v>1010728960</v>
      </c>
      <c r="N26" s="32" t="n">
        <f aca="false">IF(J26="amp_bf16",2,4)</f>
        <v>2</v>
      </c>
      <c r="O26" s="32" t="n">
        <f aca="false">H26*I26*C26</f>
        <v>17179869184</v>
      </c>
      <c r="P26" s="32" t="n">
        <f aca="false">H26*I26*F26*C26</f>
        <v>68719476736</v>
      </c>
      <c r="Q26" s="32" t="n">
        <f aca="false">9*O26*N26+2*P26*N26+2*O26+P26</f>
        <v>687194767360</v>
      </c>
      <c r="R26" s="32" t="n">
        <f aca="false">O26*N26+H26*I26*G26*N26+IF(J26="amp_bf16",H26*I26*G26*4,0)</f>
        <v>84691386368</v>
      </c>
      <c r="S26" s="32" t="n">
        <f aca="false">Q26*D26+R26</f>
        <v>13828586733568</v>
      </c>
      <c r="T26" s="32" t="n">
        <f aca="false">(D26+3)*O26*4+7*O26*N26+3*P26*N26+O26+H26*I26*G26*N26</f>
        <v>2267340079104</v>
      </c>
      <c r="U26" s="32" t="n">
        <f aca="false">(2*F26*C26+3*C26)*H26*I26*N26</f>
        <v>377957122048</v>
      </c>
      <c r="V26" s="35" t="n">
        <f aca="false">M26*4/1000000000</f>
        <v>4.04291584</v>
      </c>
      <c r="W26" s="35" t="n">
        <f aca="false">M26*4/1000000000</f>
        <v>4.04291584</v>
      </c>
      <c r="X26" s="35" t="n">
        <f aca="false">M26*IF(K26="adam8bit",2,8)/1000000000</f>
        <v>2.02145792</v>
      </c>
      <c r="Y26" s="35" t="n">
        <f aca="false">IF(J26="amp_bf16",M26*2,0)/1000000000</f>
        <v>2.02145792</v>
      </c>
      <c r="Z26" s="35" t="n">
        <f aca="false">IF(L26="Yes",T26,S26)/1000000000</f>
        <v>13828.586733568</v>
      </c>
      <c r="AA26" s="35" t="n">
        <f aca="false">V26+X26+T26/1000000000</f>
        <v>2273.404452864</v>
      </c>
      <c r="AB26" s="35" t="n">
        <f aca="false">V26+W26+X26+IF(K26="adam",W26,0)</f>
        <v>10.1072896</v>
      </c>
      <c r="AC26" s="35" t="n">
        <f aca="false">V26+X26+Y26+D26*O26*4/1000000000+U26/1000000000+(H26*I26*G26*N26+IF(J26="amp_bf16",H26*I26*G26*4,0))/1000000000</f>
        <v>1810.764136448</v>
      </c>
      <c r="AD26" s="35" t="n">
        <f aca="false">IF(L26="Yes",MAX(AA26,AB26,AC26),V26+W26+X26+Y26+Z26)</f>
        <v>13840.715481088</v>
      </c>
      <c r="AE26" s="35" t="n">
        <f aca="false">AD26+0.6+IF(L26="Yes",5.2,1.2)</f>
        <v>13842.515481088</v>
      </c>
      <c r="AF26" s="35" t="str">
        <f aca="false">IF(AE26&gt;$C$3,"OOM","fits")</f>
        <v>OOM</v>
      </c>
      <c r="AG26" s="39" t="s">
        <v>203</v>
      </c>
      <c r="AH26" s="39" t="s">
        <v>203</v>
      </c>
      <c r="AI26" s="40" t="str">
        <f aca="false">IF(ISNUMBER(AG26),(AD26-AG26)/AG26,"")</f>
        <v/>
      </c>
    </row>
    <row r="27" customFormat="false" ht="15" hidden="false" customHeight="true" outlineLevel="0" collapsed="false">
      <c r="A27" s="37" t="s">
        <v>217</v>
      </c>
      <c r="B27" s="37" t="s">
        <v>211</v>
      </c>
      <c r="C27" s="38" t="n">
        <v>2048</v>
      </c>
      <c r="D27" s="38" t="n">
        <v>20</v>
      </c>
      <c r="E27" s="38" t="n">
        <v>16</v>
      </c>
      <c r="F27" s="38" t="n">
        <v>4</v>
      </c>
      <c r="G27" s="38" t="n">
        <v>1000</v>
      </c>
      <c r="H27" s="38" t="n">
        <v>4096</v>
      </c>
      <c r="I27" s="38" t="n">
        <v>2048</v>
      </c>
      <c r="J27" s="37" t="s">
        <v>197</v>
      </c>
      <c r="K27" s="37" t="s">
        <v>198</v>
      </c>
      <c r="L27" s="37" t="s">
        <v>214</v>
      </c>
      <c r="M27" s="38" t="n">
        <v>1010728960</v>
      </c>
      <c r="N27" s="32" t="n">
        <f aca="false">IF(J27="amp_bf16",2,4)</f>
        <v>2</v>
      </c>
      <c r="O27" s="32" t="n">
        <f aca="false">H27*I27*C27</f>
        <v>17179869184</v>
      </c>
      <c r="P27" s="32" t="n">
        <f aca="false">H27*I27*F27*C27</f>
        <v>68719476736</v>
      </c>
      <c r="Q27" s="32" t="n">
        <f aca="false">9*O27*N27+2*P27*N27+2*O27+P27</f>
        <v>687194767360</v>
      </c>
      <c r="R27" s="32" t="n">
        <f aca="false">O27*N27+H27*I27*G27*N27+IF(J27="amp_bf16",H27*I27*G27*4,0)</f>
        <v>84691386368</v>
      </c>
      <c r="S27" s="32" t="n">
        <f aca="false">Q27*D27+R27</f>
        <v>13828586733568</v>
      </c>
      <c r="T27" s="32" t="n">
        <f aca="false">(D27+3)*O27*4+7*O27*N27+3*P27*N27+O27+H27*I27*G27*N27</f>
        <v>2267340079104</v>
      </c>
      <c r="U27" s="32" t="n">
        <f aca="false">(2*F27*C27+3*C27)*H27*I27*N27</f>
        <v>377957122048</v>
      </c>
      <c r="V27" s="35" t="n">
        <f aca="false">M27*4/1000000000</f>
        <v>4.04291584</v>
      </c>
      <c r="W27" s="35" t="n">
        <f aca="false">M27*4/1000000000</f>
        <v>4.04291584</v>
      </c>
      <c r="X27" s="35" t="n">
        <f aca="false">M27*IF(K27="adam8bit",2,8)/1000000000</f>
        <v>8.08583168</v>
      </c>
      <c r="Y27" s="35" t="n">
        <f aca="false">IF(J27="amp_bf16",M27*2,0)/1000000000</f>
        <v>2.02145792</v>
      </c>
      <c r="Z27" s="35" t="n">
        <f aca="false">IF(L27="Yes",T27,S27)/1000000000</f>
        <v>2267.340079104</v>
      </c>
      <c r="AA27" s="35" t="n">
        <f aca="false">V27+X27+T27/1000000000</f>
        <v>2279.468826624</v>
      </c>
      <c r="AB27" s="35" t="n">
        <f aca="false">V27+W27+X27+IF(K27="adam",W27,0)</f>
        <v>20.2145792</v>
      </c>
      <c r="AC27" s="35" t="n">
        <f aca="false">V27+X27+Y27+D27*O27*4/1000000000+U27/1000000000+(H27*I27*G27*N27+IF(J27="amp_bf16",H27*I27*G27*4,0))/1000000000</f>
        <v>1816.828510208</v>
      </c>
      <c r="AD27" s="35" t="n">
        <f aca="false">IF(L27="Yes",MAX(AA27,AB27,AC27),V27+W27+X27+Y27+Z27)</f>
        <v>2279.468826624</v>
      </c>
      <c r="AE27" s="35" t="n">
        <f aca="false">AD27+0.6+IF(L27="Yes",5.2,1.2)</f>
        <v>2285.268826624</v>
      </c>
      <c r="AF27" s="35" t="str">
        <f aca="false">IF(AE27&gt;$C$3,"OOM","fits")</f>
        <v>OOM</v>
      </c>
      <c r="AG27" s="39" t="s">
        <v>203</v>
      </c>
      <c r="AH27" s="39" t="s">
        <v>203</v>
      </c>
      <c r="AI27" s="40" t="str">
        <f aca="false">IF(ISNUMBER(AG27),(AD27-AG27)/AG27,"")</f>
        <v/>
      </c>
    </row>
    <row r="28" customFormat="false" ht="15" hidden="false" customHeight="true" outlineLevel="0" collapsed="false">
      <c r="A28" s="37" t="s">
        <v>217</v>
      </c>
      <c r="B28" s="37" t="s">
        <v>218</v>
      </c>
      <c r="C28" s="38" t="n">
        <v>2048</v>
      </c>
      <c r="D28" s="38" t="n">
        <v>20</v>
      </c>
      <c r="E28" s="38" t="n">
        <v>16</v>
      </c>
      <c r="F28" s="38" t="n">
        <v>4</v>
      </c>
      <c r="G28" s="38" t="n">
        <v>1000</v>
      </c>
      <c r="H28" s="38" t="n">
        <v>4096</v>
      </c>
      <c r="I28" s="38" t="n">
        <v>2048</v>
      </c>
      <c r="J28" s="37" t="s">
        <v>197</v>
      </c>
      <c r="K28" s="37" t="s">
        <v>210</v>
      </c>
      <c r="L28" s="37" t="s">
        <v>214</v>
      </c>
      <c r="M28" s="38" t="n">
        <v>1010728960</v>
      </c>
      <c r="N28" s="32" t="n">
        <f aca="false">IF(J28="amp_bf16",2,4)</f>
        <v>2</v>
      </c>
      <c r="O28" s="32" t="n">
        <f aca="false">H28*I28*C28</f>
        <v>17179869184</v>
      </c>
      <c r="P28" s="32" t="n">
        <f aca="false">H28*I28*F28*C28</f>
        <v>68719476736</v>
      </c>
      <c r="Q28" s="32" t="n">
        <f aca="false">9*O28*N28+2*P28*N28+2*O28+P28</f>
        <v>687194767360</v>
      </c>
      <c r="R28" s="32" t="n">
        <f aca="false">O28*N28+H28*I28*G28*N28+IF(J28="amp_bf16",H28*I28*G28*4,0)</f>
        <v>84691386368</v>
      </c>
      <c r="S28" s="32" t="n">
        <f aca="false">Q28*D28+R28</f>
        <v>13828586733568</v>
      </c>
      <c r="T28" s="32" t="n">
        <f aca="false">(D28+3)*O28*4+7*O28*N28+3*P28*N28+O28+H28*I28*G28*N28</f>
        <v>2267340079104</v>
      </c>
      <c r="U28" s="32" t="n">
        <f aca="false">(2*F28*C28+3*C28)*H28*I28*N28</f>
        <v>377957122048</v>
      </c>
      <c r="V28" s="35" t="n">
        <f aca="false">M28*4/1000000000</f>
        <v>4.04291584</v>
      </c>
      <c r="W28" s="35" t="n">
        <f aca="false">M28*4/1000000000</f>
        <v>4.04291584</v>
      </c>
      <c r="X28" s="35" t="n">
        <f aca="false">M28*IF(K28="adam8bit",2,8)/1000000000</f>
        <v>2.02145792</v>
      </c>
      <c r="Y28" s="35" t="n">
        <f aca="false">IF(J28="amp_bf16",M28*2,0)/1000000000</f>
        <v>2.02145792</v>
      </c>
      <c r="Z28" s="35" t="n">
        <f aca="false">IF(L28="Yes",T28,S28)/1000000000</f>
        <v>2267.340079104</v>
      </c>
      <c r="AA28" s="35" t="n">
        <f aca="false">V28+X28+T28/1000000000</f>
        <v>2273.404452864</v>
      </c>
      <c r="AB28" s="35" t="n">
        <f aca="false">V28+W28+X28+IF(K28="adam",W28,0)</f>
        <v>10.1072896</v>
      </c>
      <c r="AC28" s="35" t="n">
        <f aca="false">V28+X28+Y28+D28*O28*4/1000000000+U28/1000000000+(H28*I28*G28*N28+IF(J28="amp_bf16",H28*I28*G28*4,0))/1000000000</f>
        <v>1810.764136448</v>
      </c>
      <c r="AD28" s="35" t="n">
        <f aca="false">IF(L28="Yes",MAX(AA28,AB28,AC28),V28+W28+X28+Y28+Z28)</f>
        <v>2273.404452864</v>
      </c>
      <c r="AE28" s="35" t="n">
        <f aca="false">AD28+0.6+IF(L28="Yes",5.2,1.2)</f>
        <v>2279.204452864</v>
      </c>
      <c r="AF28" s="35" t="str">
        <f aca="false">IF(AE28&gt;$C$3,"OOM","fits")</f>
        <v>OOM</v>
      </c>
      <c r="AG28" s="39" t="s">
        <v>203</v>
      </c>
      <c r="AH28" s="39" t="s">
        <v>203</v>
      </c>
      <c r="AI28" s="40" t="str">
        <f aca="false">IF(ISNUMBER(AG28),(AD28-AG28)/AG28,"")</f>
        <v/>
      </c>
    </row>
    <row r="29" customFormat="false" ht="15" hidden="false" customHeight="true" outlineLevel="0" collapsed="false">
      <c r="A29" s="37" t="s">
        <v>219</v>
      </c>
      <c r="B29" s="37" t="s">
        <v>220</v>
      </c>
      <c r="C29" s="38" t="n">
        <v>2048</v>
      </c>
      <c r="D29" s="38" t="n">
        <v>20</v>
      </c>
      <c r="E29" s="38" t="n">
        <v>16</v>
      </c>
      <c r="F29" s="38" t="n">
        <v>4</v>
      </c>
      <c r="G29" s="38" t="n">
        <v>1000</v>
      </c>
      <c r="H29" s="38" t="n">
        <v>256</v>
      </c>
      <c r="I29" s="38" t="n">
        <v>100</v>
      </c>
      <c r="J29" s="37" t="s">
        <v>220</v>
      </c>
      <c r="K29" s="37" t="s">
        <v>198</v>
      </c>
      <c r="L29" s="37" t="s">
        <v>199</v>
      </c>
      <c r="M29" s="38" t="n">
        <v>1010728960</v>
      </c>
      <c r="N29" s="32" t="n">
        <f aca="false">IF(J29="amp_bf16",2,4)</f>
        <v>4</v>
      </c>
      <c r="O29" s="32" t="n">
        <f aca="false">H29*I29*C29</f>
        <v>52428800</v>
      </c>
      <c r="P29" s="32" t="n">
        <f aca="false">H29*I29*F29*C29</f>
        <v>209715200</v>
      </c>
      <c r="Q29" s="32" t="n">
        <f aca="false">9*O29*N29+2*P29*N29+2*O29+P29</f>
        <v>3879731200</v>
      </c>
      <c r="R29" s="32" t="n">
        <f aca="false">O29*N29+H29*I29*G29*N29+IF(J29="amp_bf16",H29*I29*G29*4,0)</f>
        <v>312115200</v>
      </c>
      <c r="S29" s="32" t="n">
        <f aca="false">Q29*D29+R29</f>
        <v>77906739200</v>
      </c>
      <c r="T29" s="32" t="n">
        <f aca="false">(D29+3)*O29*4+7*O29*N29+3*P29*N29+O29+H29*I29*G29*N29</f>
        <v>8962867200</v>
      </c>
      <c r="U29" s="32" t="n">
        <f aca="false">(2*F29*C29+3*C29)*H29*I29*N29</f>
        <v>2306867200</v>
      </c>
      <c r="V29" s="35" t="n">
        <f aca="false">M29*4/1000000000</f>
        <v>4.04291584</v>
      </c>
      <c r="W29" s="35" t="n">
        <f aca="false">M29*4/1000000000</f>
        <v>4.04291584</v>
      </c>
      <c r="X29" s="35" t="n">
        <f aca="false">M29*IF(K29="adam8bit",2,8)/1000000000</f>
        <v>8.08583168</v>
      </c>
      <c r="Y29" s="35" t="n">
        <f aca="false">IF(J29="amp_bf16",M29*2,0)/1000000000</f>
        <v>0</v>
      </c>
      <c r="Z29" s="35" t="n">
        <f aca="false">IF(L29="Yes",T29,S29)/1000000000</f>
        <v>77.9067392</v>
      </c>
      <c r="AA29" s="35" t="n">
        <f aca="false">V29+X29+T29/1000000000</f>
        <v>21.09161472</v>
      </c>
      <c r="AB29" s="35" t="n">
        <f aca="false">V29+W29+X29+IF(K29="adam",W29,0)</f>
        <v>20.2145792</v>
      </c>
      <c r="AC29" s="35" t="n">
        <f aca="false">V29+X29+Y29+D29*O29*4/1000000000+U29/1000000000+(H29*I29*G29*N29+IF(J29="amp_bf16",H29*I29*G29*4,0))/1000000000</f>
        <v>18.73231872</v>
      </c>
      <c r="AD29" s="35" t="n">
        <f aca="false">IF(L29="Yes",MAX(AA29,AB29,AC29),V29+W29+X29+Y29+Z29)</f>
        <v>94.07840256</v>
      </c>
      <c r="AE29" s="35" t="n">
        <f aca="false">AD29+0.6+IF(L29="Yes",5.2,1.2)</f>
        <v>95.87840256</v>
      </c>
      <c r="AF29" s="35" t="str">
        <f aca="false">IF(AE29&gt;$C$3,"OOM","fits")</f>
        <v>OOM</v>
      </c>
      <c r="AG29" s="39" t="s">
        <v>203</v>
      </c>
      <c r="AH29" s="39" t="s">
        <v>203</v>
      </c>
      <c r="AI29" s="40" t="str">
        <f aca="false">IF(ISNUMBER(AG29),(AD29-AG29)/AG29,"")</f>
        <v/>
      </c>
    </row>
    <row r="31" customFormat="false" ht="15" hidden="false" customHeight="true" outlineLevel="0" collapsed="false">
      <c r="A31" s="22" t="s">
        <v>221</v>
      </c>
      <c r="F31" s="41" t="n">
        <f aca="false">MAX(MAX(AI6:AI29),-MIN(AI6:AI29))</f>
        <v>0.0217227617174427</v>
      </c>
    </row>
    <row r="32" customFormat="false" ht="15" hidden="false" customHeight="true" outlineLevel="0" collapsed="false">
      <c r="A32" s="16" t="s">
        <v>222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116"/>
  </cols>
  <sheetData>
    <row r="1" customFormat="false" ht="15.75" hidden="false" customHeight="true" outlineLevel="0" collapsed="false">
      <c r="A1" s="29" t="s">
        <v>223</v>
      </c>
    </row>
    <row r="3" customFormat="false" ht="45.75" hidden="false" customHeight="true" outlineLevel="0" collapsed="false">
      <c r="A3" s="22" t="s">
        <v>224</v>
      </c>
      <c r="B3" s="42" t="s">
        <v>225</v>
      </c>
    </row>
    <row r="4" customFormat="false" ht="45.75" hidden="false" customHeight="true" outlineLevel="0" collapsed="false">
      <c r="A4" s="22" t="s">
        <v>226</v>
      </c>
      <c r="B4" s="42" t="s">
        <v>227</v>
      </c>
    </row>
    <row r="5" customFormat="false" ht="45.75" hidden="false" customHeight="true" outlineLevel="0" collapsed="false">
      <c r="A5" s="22" t="s">
        <v>228</v>
      </c>
      <c r="B5" s="42" t="s">
        <v>229</v>
      </c>
    </row>
    <row r="6" customFormat="false" ht="45.75" hidden="false" customHeight="true" outlineLevel="0" collapsed="false">
      <c r="A6" s="22" t="s">
        <v>230</v>
      </c>
      <c r="B6" s="42" t="s">
        <v>231</v>
      </c>
    </row>
    <row r="7" customFormat="false" ht="45.75" hidden="false" customHeight="true" outlineLevel="0" collapsed="false">
      <c r="A7" s="22" t="s">
        <v>232</v>
      </c>
      <c r="B7" s="42" t="s">
        <v>233</v>
      </c>
    </row>
    <row r="8" customFormat="false" ht="45.75" hidden="false" customHeight="true" outlineLevel="0" collapsed="false">
      <c r="A8" s="22" t="s">
        <v>234</v>
      </c>
      <c r="B8" s="42" t="s">
        <v>235</v>
      </c>
    </row>
    <row r="9" customFormat="false" ht="45.75" hidden="false" customHeight="true" outlineLevel="0" collapsed="false">
      <c r="A9" s="22" t="s">
        <v>236</v>
      </c>
      <c r="B9" s="42" t="s">
        <v>237</v>
      </c>
    </row>
    <row r="10" customFormat="false" ht="45.75" hidden="false" customHeight="true" outlineLevel="0" collapsed="false">
      <c r="A10" s="22" t="s">
        <v>238</v>
      </c>
      <c r="B10" s="42" t="s">
        <v>239</v>
      </c>
    </row>
    <row r="11" customFormat="false" ht="45.75" hidden="false" customHeight="true" outlineLevel="0" collapsed="false">
      <c r="A11" s="22" t="s">
        <v>240</v>
      </c>
      <c r="B11" s="42" t="s">
        <v>241</v>
      </c>
    </row>
    <row r="12" customFormat="false" ht="45.75" hidden="false" customHeight="true" outlineLevel="0" collapsed="false">
      <c r="A12" s="22" t="s">
        <v>242</v>
      </c>
      <c r="B12" s="42" t="s">
        <v>243</v>
      </c>
    </row>
    <row r="13" customFormat="false" ht="45.75" hidden="false" customHeight="true" outlineLevel="0" collapsed="false">
      <c r="A13" s="22" t="s">
        <v>244</v>
      </c>
      <c r="B13" s="42" t="s">
        <v>245</v>
      </c>
    </row>
    <row r="14" customFormat="false" ht="45.75" hidden="false" customHeight="true" outlineLevel="0" collapsed="false">
      <c r="A14" s="22" t="s">
        <v>246</v>
      </c>
      <c r="B14" s="42" t="s">
        <v>247</v>
      </c>
    </row>
    <row r="15" customFormat="false" ht="45.75" hidden="false" customHeight="true" outlineLevel="0" collapsed="false">
      <c r="A15" s="22" t="s">
        <v>248</v>
      </c>
      <c r="B15" s="42" t="s">
        <v>249</v>
      </c>
    </row>
    <row r="16" customFormat="false" ht="45.75" hidden="false" customHeight="true" outlineLevel="0" collapsed="false">
      <c r="A16" s="22" t="s">
        <v>250</v>
      </c>
      <c r="B16" s="42" t="s">
        <v>251</v>
      </c>
    </row>
    <row r="17" customFormat="false" ht="45.75" hidden="false" customHeight="true" outlineLevel="0" collapsed="false">
      <c r="A17" s="22" t="s">
        <v>93</v>
      </c>
      <c r="B17" s="42" t="s">
        <v>252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2026-07-31T22:32:47Z</dcterms:created>
  <dc:creator>openpyxl</dc:creator>
  <dc:description/>
  <dc:language>en-US</dc:language>
  <cp:lastModifiedBy/>
  <dcterms:modified xsi:type="dcterms:W3CDTF">2026-08-01T23:12:39Z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