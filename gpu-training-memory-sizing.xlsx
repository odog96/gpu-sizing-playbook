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izing Tool" sheetId="1" state="visible" r:id="rId1"/>
    <sheet name="Model Presets" sheetId="2" state="visible" r:id="rId2"/>
    <sheet name="GPU Capacity" sheetId="3" state="visible" r:id="rId3"/>
    <sheet name="Validation" sheetId="4" state="visible" r:id="rId4"/>
    <sheet name="Notes &amp; Source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5"/>
    </font>
    <font>
      <name val="Arial"/>
      <charset val="1"/>
      <family val="0"/>
      <i val="1"/>
      <color rgb="FF595959"/>
      <sz val="10"/>
    </font>
    <font>
      <name val="Arial"/>
      <charset val="1"/>
      <family val="0"/>
      <i val="1"/>
      <color rgb="FF595959"/>
      <sz val="9"/>
    </font>
    <font>
      <name val="Arial"/>
      <charset val="1"/>
      <family val="0"/>
      <b val="1"/>
      <color rgb="FFFFFFFF"/>
      <sz val="11"/>
    </font>
    <font>
      <name val="Arial"/>
      <charset val="1"/>
      <family val="0"/>
      <b val="1"/>
      <sz val="10"/>
    </font>
    <font>
      <name val="Arial"/>
      <charset val="1"/>
      <family val="0"/>
      <color rgb="FF0000FF"/>
      <sz val="10"/>
    </font>
    <font>
      <name val="Arial"/>
      <charset val="1"/>
      <family val="0"/>
      <i val="1"/>
      <color rgb="FF595959"/>
      <sz val="8"/>
    </font>
    <font>
      <name val="Arial"/>
      <charset val="1"/>
      <family val="0"/>
      <sz val="10"/>
    </font>
    <font>
      <name val="Arial"/>
      <charset val="1"/>
      <family val="0"/>
      <color rgb="FF008000"/>
      <sz val="10"/>
    </font>
    <font>
      <name val="Arial"/>
      <charset val="1"/>
      <family val="0"/>
      <b val="1"/>
      <sz val="12"/>
    </font>
    <font>
      <name val="Arial"/>
      <charset val="1"/>
      <family val="0"/>
      <b val="1"/>
      <sz val="13"/>
    </font>
  </fonts>
  <fills count="6">
    <fill>
      <patternFill/>
    </fill>
    <fill>
      <patternFill patternType="gray125"/>
    </fill>
    <fill>
      <patternFill patternType="solid">
        <fgColor rgb="FF1F3864"/>
        <bgColor rgb="FF333333"/>
      </patternFill>
    </fill>
    <fill>
      <patternFill patternType="solid">
        <fgColor rgb="FFFFFF99"/>
        <bgColor rgb="FFFFFFCC"/>
      </patternFill>
    </fill>
    <fill>
      <patternFill patternType="solid">
        <fgColor rgb="FFD9E2F3"/>
        <bgColor rgb="FFE2EFDA"/>
      </patternFill>
    </fill>
    <fill>
      <patternFill patternType="solid">
        <fgColor rgb="FFE2EFDA"/>
        <bgColor rgb="FFD9E2F3"/>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center" wrapText="1"/>
    </xf>
    <xf numFmtId="0" fontId="7" fillId="2" borderId="0" applyAlignment="1" pivotButton="0" quotePrefix="0" xfId="0">
      <alignment horizontal="general" vertical="center" indent="1"/>
    </xf>
    <xf numFmtId="0" fontId="8" fillId="0" borderId="0" applyAlignment="1" pivotButton="0" quotePrefix="0" xfId="0">
      <alignment horizontal="general" vertical="bottom"/>
    </xf>
    <xf numFmtId="0" fontId="9" fillId="3" borderId="1" applyAlignment="1" pivotButton="0" quotePrefix="0" xfId="0">
      <alignment horizontal="general" vertical="bottom"/>
    </xf>
    <xf numFmtId="0" fontId="10" fillId="0" borderId="0" applyAlignment="1" pivotButton="0" quotePrefix="0" xfId="0">
      <alignment horizontal="general" vertical="center"/>
    </xf>
    <xf numFmtId="0" fontId="8" fillId="4" borderId="1" applyAlignment="1" pivotButton="0" quotePrefix="0" xfId="0">
      <alignment horizontal="center" vertical="bottom" wrapText="1"/>
    </xf>
    <xf numFmtId="0" fontId="11" fillId="0" borderId="0" applyAlignment="1" pivotButton="0" quotePrefix="0" xfId="0">
      <alignment horizontal="general" vertical="bottom"/>
    </xf>
    <xf numFmtId="3" fontId="12" fillId="0" borderId="1" applyAlignment="1" pivotButton="0" quotePrefix="0" xfId="0">
      <alignment horizontal="general" vertical="bottom"/>
    </xf>
    <xf numFmtId="3" fontId="9" fillId="3" borderId="1" applyAlignment="1" pivotButton="0" quotePrefix="0" xfId="0">
      <alignment horizontal="general" vertical="bottom"/>
    </xf>
    <xf numFmtId="3" fontId="11" fillId="0" borderId="1" applyAlignment="1" pivotButton="0" quotePrefix="0" xfId="0">
      <alignment horizontal="general" vertical="bottom"/>
    </xf>
    <xf numFmtId="3" fontId="8" fillId="0" borderId="1" applyAlignment="1" pivotButton="0" quotePrefix="0" xfId="0">
      <alignment horizontal="general" vertical="bottom"/>
    </xf>
    <xf numFmtId="4" fontId="12" fillId="0" borderId="1" applyAlignment="1" pivotButton="0" quotePrefix="0" xfId="0">
      <alignment horizontal="general" vertical="bottom"/>
    </xf>
    <xf numFmtId="4" fontId="9" fillId="3" borderId="1" applyAlignment="1" pivotButton="0" quotePrefix="0" xfId="0">
      <alignment horizontal="general" vertical="bottom"/>
    </xf>
    <xf numFmtId="4" fontId="8" fillId="0" borderId="1" applyAlignment="1" pivotButton="0" quotePrefix="0" xfId="0">
      <alignment horizontal="general" vertical="bottom"/>
    </xf>
    <xf numFmtId="0" fontId="8" fillId="4" borderId="1" applyAlignment="1" pivotButton="0" quotePrefix="0" xfId="0">
      <alignment horizontal="general" vertical="bottom"/>
    </xf>
    <xf numFmtId="4" fontId="11" fillId="5" borderId="1" applyAlignment="1" pivotButton="0" quotePrefix="0" xfId="0">
      <alignment horizontal="general" vertical="bottom"/>
    </xf>
    <xf numFmtId="164" fontId="11" fillId="0" borderId="1" applyAlignment="1" pivotButton="0" quotePrefix="0" xfId="0">
      <alignment horizontal="general" vertical="bottom"/>
    </xf>
    <xf numFmtId="4" fontId="11" fillId="0" borderId="1" applyAlignment="1" pivotButton="0" quotePrefix="0" xfId="0">
      <alignment horizontal="general" vertical="bottom"/>
    </xf>
    <xf numFmtId="0" fontId="11" fillId="0" borderId="1" applyAlignment="1" pivotButton="0" quotePrefix="0" xfId="0">
      <alignment horizontal="general" vertical="bottom"/>
    </xf>
    <xf numFmtId="4" fontId="8" fillId="5" borderId="1" applyAlignment="1" pivotButton="0" quotePrefix="0" xfId="0">
      <alignment horizontal="general" vertical="bottom"/>
    </xf>
    <xf numFmtId="0" fontId="13" fillId="5" borderId="1" applyAlignment="1" pivotButton="0" quotePrefix="0" xfId="0">
      <alignment horizontal="general" vertical="bottom"/>
    </xf>
    <xf numFmtId="165" fontId="11" fillId="0" borderId="1" applyAlignment="1" pivotButton="0" quotePrefix="0" xfId="0">
      <alignment horizontal="general" vertical="bottom"/>
    </xf>
    <xf numFmtId="0" fontId="6" fillId="0" borderId="0" applyAlignment="1" pivotButton="0" quotePrefix="0" xfId="0">
      <alignment horizontal="general" vertical="top" wrapText="1"/>
    </xf>
    <xf numFmtId="0" fontId="14" fillId="0" borderId="0" applyAlignment="1" pivotButton="0" quotePrefix="0" xfId="0">
      <alignment horizontal="general" vertical="bottom"/>
    </xf>
    <xf numFmtId="0" fontId="6" fillId="0" borderId="0" applyAlignment="1" pivotButton="0" quotePrefix="0" xfId="0">
      <alignment horizontal="general" vertical="bottom"/>
    </xf>
    <xf numFmtId="0" fontId="8" fillId="4" borderId="1" applyAlignment="1" pivotButton="0" quotePrefix="0" xfId="0">
      <alignment horizontal="general" vertical="bottom" wrapText="1"/>
    </xf>
    <xf numFmtId="0" fontId="10" fillId="0" borderId="1" applyAlignment="1" pivotButton="0" quotePrefix="0" xfId="0">
      <alignment horizontal="general" vertical="bottom"/>
    </xf>
    <xf numFmtId="4" fontId="11" fillId="3" borderId="0" applyAlignment="1" pivotButton="0" quotePrefix="0" xfId="0">
      <alignment horizontal="general" vertical="bottom"/>
    </xf>
    <xf numFmtId="0" fontId="9" fillId="0" borderId="1" applyAlignment="1" pivotButton="0" quotePrefix="0" xfId="0">
      <alignment horizontal="general" vertical="bottom"/>
    </xf>
    <xf numFmtId="3" fontId="9" fillId="0" borderId="1" applyAlignment="1" pivotButton="0" quotePrefix="0" xfId="0">
      <alignment horizontal="general" vertical="bottom"/>
    </xf>
    <xf numFmtId="4" fontId="9" fillId="0" borderId="1" applyAlignment="1" pivotButton="0" quotePrefix="0" xfId="0">
      <alignment horizontal="general" vertical="bottom"/>
    </xf>
    <xf numFmtId="10" fontId="11" fillId="0" borderId="1" applyAlignment="1" pivotButton="0" quotePrefix="0" xfId="0">
      <alignment horizontal="general" vertical="bottom"/>
    </xf>
    <xf numFmtId="10" fontId="8" fillId="0" borderId="0" applyAlignment="1" pivotButton="0" quotePrefix="0" xfId="0">
      <alignment horizontal="general" vertical="bottom"/>
    </xf>
    <xf numFmtId="0" fontId="11"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center" wrapText="1"/>
    </xf>
    <xf numFmtId="0" fontId="7" fillId="2" borderId="0" applyAlignment="1" pivotButton="0" quotePrefix="0" xfId="0">
      <alignment horizontal="general" vertical="center" indent="1"/>
    </xf>
    <xf numFmtId="0" fontId="8" fillId="0" borderId="0" applyAlignment="1" pivotButton="0" quotePrefix="0" xfId="0">
      <alignment horizontal="general" vertical="bottom"/>
    </xf>
    <xf numFmtId="0" fontId="9" fillId="3" borderId="1" applyAlignment="1" pivotButton="0" quotePrefix="0" xfId="0">
      <alignment horizontal="general" vertical="bottom"/>
    </xf>
    <xf numFmtId="0" fontId="10" fillId="0" borderId="0" applyAlignment="1" pivotButton="0" quotePrefix="0" xfId="0">
      <alignment horizontal="general" vertical="center"/>
    </xf>
    <xf numFmtId="0" fontId="8" fillId="4" borderId="1" applyAlignment="1" pivotButton="0" quotePrefix="0" xfId="0">
      <alignment horizontal="center" vertical="bottom" wrapText="1"/>
    </xf>
    <xf numFmtId="0" fontId="11" fillId="0" borderId="0" applyAlignment="1" pivotButton="0" quotePrefix="0" xfId="0">
      <alignment horizontal="general" vertical="bottom"/>
    </xf>
    <xf numFmtId="3" fontId="12" fillId="0" borderId="1" applyAlignment="1" pivotButton="0" quotePrefix="0" xfId="0">
      <alignment horizontal="general" vertical="bottom"/>
    </xf>
    <xf numFmtId="3" fontId="9" fillId="3" borderId="1" applyAlignment="1" pivotButton="0" quotePrefix="0" xfId="0">
      <alignment horizontal="general" vertical="bottom"/>
    </xf>
    <xf numFmtId="3" fontId="11" fillId="0" borderId="1" applyAlignment="1" pivotButton="0" quotePrefix="0" xfId="0">
      <alignment horizontal="general" vertical="bottom"/>
    </xf>
    <xf numFmtId="3" fontId="8" fillId="0" borderId="1" applyAlignment="1" pivotButton="0" quotePrefix="0" xfId="0">
      <alignment horizontal="general" vertical="bottom"/>
    </xf>
    <xf numFmtId="4" fontId="12" fillId="0" borderId="1" applyAlignment="1" pivotButton="0" quotePrefix="0" xfId="0">
      <alignment horizontal="general" vertical="bottom"/>
    </xf>
    <xf numFmtId="4" fontId="9" fillId="3" borderId="1" applyAlignment="1" pivotButton="0" quotePrefix="0" xfId="0">
      <alignment horizontal="general" vertical="bottom"/>
    </xf>
    <xf numFmtId="4" fontId="8" fillId="0" borderId="1" applyAlignment="1" pivotButton="0" quotePrefix="0" xfId="0">
      <alignment horizontal="general" vertical="bottom"/>
    </xf>
    <xf numFmtId="0" fontId="8" fillId="4" borderId="1" applyAlignment="1" pivotButton="0" quotePrefix="0" xfId="0">
      <alignment horizontal="general" vertical="bottom"/>
    </xf>
    <xf numFmtId="4" fontId="11" fillId="5" borderId="1" applyAlignment="1" pivotButton="0" quotePrefix="0" xfId="0">
      <alignment horizontal="general" vertical="bottom"/>
    </xf>
    <xf numFmtId="164" fontId="11" fillId="0" borderId="1" applyAlignment="1" pivotButton="0" quotePrefix="0" xfId="0">
      <alignment horizontal="general" vertical="bottom"/>
    </xf>
    <xf numFmtId="4" fontId="11" fillId="0" borderId="1" applyAlignment="1" pivotButton="0" quotePrefix="0" xfId="0">
      <alignment horizontal="general" vertical="bottom"/>
    </xf>
    <xf numFmtId="0" fontId="11" fillId="0" borderId="1" applyAlignment="1" pivotButton="0" quotePrefix="0" xfId="0">
      <alignment horizontal="general" vertical="bottom"/>
    </xf>
    <xf numFmtId="4" fontId="8" fillId="5" borderId="1" applyAlignment="1" pivotButton="0" quotePrefix="0" xfId="0">
      <alignment horizontal="general" vertical="bottom"/>
    </xf>
    <xf numFmtId="0" fontId="13" fillId="5" borderId="1" applyAlignment="1" pivotButton="0" quotePrefix="0" xfId="0">
      <alignment horizontal="general" vertical="bottom"/>
    </xf>
    <xf numFmtId="0" fontId="0" fillId="0" borderId="4" pivotButton="0" quotePrefix="0" xfId="0"/>
    <xf numFmtId="165" fontId="11" fillId="0" borderId="1" applyAlignment="1" pivotButton="0" quotePrefix="0" xfId="0">
      <alignment horizontal="general" vertical="bottom"/>
    </xf>
    <xf numFmtId="0" fontId="6" fillId="0" borderId="0" applyAlignment="1" pivotButton="0" quotePrefix="0" xfId="0">
      <alignment horizontal="general" vertical="top" wrapText="1"/>
    </xf>
    <xf numFmtId="0" fontId="14" fillId="0" borderId="0" applyAlignment="1" pivotButton="0" quotePrefix="0" xfId="0">
      <alignment horizontal="general" vertical="bottom"/>
    </xf>
    <xf numFmtId="0" fontId="6" fillId="0" borderId="0" applyAlignment="1" pivotButton="0" quotePrefix="0" xfId="0">
      <alignment horizontal="general" vertical="bottom"/>
    </xf>
    <xf numFmtId="0" fontId="8" fillId="4" borderId="1" applyAlignment="1" pivotButton="0" quotePrefix="0" xfId="0">
      <alignment horizontal="general" vertical="bottom" wrapText="1"/>
    </xf>
    <xf numFmtId="0" fontId="10" fillId="0" borderId="1" applyAlignment="1" pivotButton="0" quotePrefix="0" xfId="0">
      <alignment horizontal="general" vertical="bottom"/>
    </xf>
    <xf numFmtId="4" fontId="11" fillId="3" borderId="0" applyAlignment="1" pivotButton="0" quotePrefix="0" xfId="0">
      <alignment horizontal="general" vertical="bottom"/>
    </xf>
    <xf numFmtId="0" fontId="9" fillId="0" borderId="1" applyAlignment="1" pivotButton="0" quotePrefix="0" xfId="0">
      <alignment horizontal="general" vertical="bottom"/>
    </xf>
    <xf numFmtId="3" fontId="9" fillId="0" borderId="1" applyAlignment="1" pivotButton="0" quotePrefix="0" xfId="0">
      <alignment horizontal="general" vertical="bottom"/>
    </xf>
    <xf numFmtId="4" fontId="9" fillId="0" borderId="1" applyAlignment="1" pivotButton="0" quotePrefix="0" xfId="0">
      <alignment horizontal="general" vertical="bottom"/>
    </xf>
    <xf numFmtId="10" fontId="11" fillId="0" borderId="1" applyAlignment="1" pivotButton="0" quotePrefix="0" xfId="0">
      <alignment horizontal="general" vertical="bottom"/>
    </xf>
    <xf numFmtId="10" fontId="8" fillId="0" borderId="0" applyAlignment="1" pivotButton="0" quotePrefix="0" xfId="0">
      <alignment horizontal="general" vertical="bottom"/>
    </xf>
    <xf numFmtId="0" fontId="11"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7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7" min="1" max="1"/>
    <col width="22" customWidth="1" style="37" min="2" max="2"/>
    <col width="74" customWidth="1" style="37" min="3" max="3"/>
    <col width="20" customWidth="1" style="37" min="4" max="4"/>
    <col width="16" customWidth="1" style="37" min="5" max="5"/>
    <col width="12" customWidth="1" style="37" min="6" max="6"/>
    <col width="70" customWidth="1" style="37" min="7" max="7"/>
  </cols>
  <sheetData>
    <row r="1" ht="18.55" customHeight="1" s="38">
      <c r="A1" s="39" t="inlineStr">
        <is>
          <t>GPU Memory Sizing — Training a Transformer on a Single GPU</t>
        </is>
      </c>
    </row>
    <row r="2" ht="15" customHeight="1" s="38">
      <c r="A2" s="40" t="inlineStr">
        <is>
          <t>Companion tool to Article 1, "Training: The Four Line Items of GPU Memory." Fill in the blue cells. Everything else calculates.</t>
        </is>
      </c>
    </row>
    <row r="3" ht="25.5" customHeight="1" s="38">
      <c r="A3" s="41" t="inlineStr">
        <is>
          <t>LEGEND:  blue text = you edit these  |  yellow fill = assumption you may override  |  black text = calculated, do not edit  |  green text = pulled from another tab. The workbook opens pre-filled with the exact configuration benchmarked in Article 1, as a worked example.</t>
        </is>
      </c>
    </row>
    <row r="4"/>
    <row r="5" ht="19.5" customHeight="1" s="38">
      <c r="A5" s="42" t="inlineStr">
        <is>
          <t>STEP 1 — YOUR MODEL</t>
        </is>
      </c>
    </row>
    <row r="6" ht="15" customHeight="1" s="38">
      <c r="A6" s="43" t="inlineStr">
        <is>
          <t>Model size</t>
        </is>
      </c>
      <c r="B6" s="44" t="inlineStr">
        <is>
          <t>Article 1 worked model (1.0B)</t>
        </is>
      </c>
      <c r="C6" s="45" t="inlineStr">
        <is>
          <t>Pick from the dropdown. This is the only model input most people need.</t>
        </is>
      </c>
    </row>
    <row r="7"/>
    <row r="8" ht="23.85" customHeight="1" s="38">
      <c r="A8" s="43" t="inlineStr">
        <is>
          <t>Architecture</t>
        </is>
      </c>
      <c r="C8" s="46" t="inlineStr">
        <is>
          <t>From preset</t>
        </is>
      </c>
      <c r="D8" s="46" t="inlineStr">
        <is>
          <t>Your override (optional)</t>
        </is>
      </c>
      <c r="E8" s="46" t="inlineStr">
        <is>
          <t>Used</t>
        </is>
      </c>
    </row>
    <row r="9" ht="15" customHeight="1" s="38">
      <c r="A9" s="47" t="inlineStr">
        <is>
          <t xml:space="preserve">   Hidden dimension</t>
        </is>
      </c>
      <c r="C9" s="48">
        <f>INDEX('Model Presets'!$B$5:$B$13,MATCH($B$6,'Model Presets'!$A$5:$A$13,0))</f>
        <v/>
      </c>
      <c r="D9" s="49" t="n"/>
      <c r="E9" s="50">
        <f>IF(D9="",C9,D9)</f>
        <v/>
      </c>
      <c r="G9" s="45" t="inlineStr">
        <is>
          <t>Leave the override column empty unless you know your model's real shape.</t>
        </is>
      </c>
    </row>
    <row r="10" ht="15" customHeight="1" s="38">
      <c r="A10" s="47" t="inlineStr">
        <is>
          <t xml:space="preserve">   Layers</t>
        </is>
      </c>
      <c r="C10" s="48">
        <f>INDEX('Model Presets'!$C$5:$C$13,MATCH($B$6,'Model Presets'!$A$5:$A$13,0))</f>
        <v/>
      </c>
      <c r="D10" s="49" t="n"/>
      <c r="E10" s="50">
        <f>IF(D10="",C10,D10)</f>
        <v/>
      </c>
    </row>
    <row r="11" ht="15" customHeight="1" s="38">
      <c r="A11" s="47" t="inlineStr">
        <is>
          <t xml:space="preserve">   Attention heads</t>
        </is>
      </c>
      <c r="C11" s="48">
        <f>INDEX('Model Presets'!$D$5:$D$13,MATCH($B$6,'Model Presets'!$A$5:$A$13,0))</f>
        <v/>
      </c>
      <c r="D11" s="49" t="n"/>
      <c r="E11" s="50">
        <f>IF(D11="",C11,D11)</f>
        <v/>
      </c>
    </row>
    <row r="12" ht="15" customHeight="1" s="38">
      <c r="A12" s="47" t="inlineStr">
        <is>
          <t xml:space="preserve">   Feed-forward multiplier</t>
        </is>
      </c>
      <c r="C12" s="48">
        <f>INDEX('Model Presets'!$E$5:$E$13,MATCH($B$6,'Model Presets'!$A$5:$A$13,0))</f>
        <v/>
      </c>
      <c r="D12" s="49" t="n"/>
      <c r="E12" s="50">
        <f>IF(D12="",C12,D12)</f>
        <v/>
      </c>
    </row>
    <row r="13" ht="15" customHeight="1" s="38">
      <c r="A13" s="47" t="inlineStr">
        <is>
          <t xml:space="preserve">   Output vocabulary / output width</t>
        </is>
      </c>
      <c r="C13" s="48">
        <f>INDEX('Model Presets'!$F$5:$F$13,MATCH($B$6,'Model Presets'!$A$5:$A$13,0))</f>
        <v/>
      </c>
      <c r="D13" s="49" t="n"/>
      <c r="E13" s="50">
        <f>IF(D13="",C13,D13)</f>
        <v/>
      </c>
      <c r="G13" s="45" t="inlineStr">
        <is>
          <t>For a tabular model this is your output width, not a text vocabulary.</t>
        </is>
      </c>
    </row>
    <row r="14" ht="15" customHeight="1" s="38">
      <c r="A14" s="43" t="inlineStr">
        <is>
          <t>Parameter count</t>
        </is>
      </c>
      <c r="C14" s="50">
        <f>(4+2*E12)*E9^2*E10+2*E13*E9</f>
        <v/>
      </c>
      <c r="D14" s="49" t="n"/>
      <c r="E14" s="51">
        <f>IF(D14="",C14,D14)</f>
        <v/>
      </c>
      <c r="G14" s="45" t="inlineStr">
        <is>
          <t>Calculated from the architecture above. Override only if you know your exact count.</t>
        </is>
      </c>
    </row>
    <row r="15" ht="24" customHeight="1" s="38">
      <c r="A15" s="41" t="inlineStr">
        <is>
          <t>WARNING: if you override the parameter count with a value that does not match the architecture above, the weights, gradients and optimizer lines will use your number but the activation line will still use the architecture. Change the architecture instead when you can.</t>
        </is>
      </c>
    </row>
    <row r="16"/>
    <row r="17" ht="19.5" customHeight="1" s="38">
      <c r="A17" s="42" t="inlineStr">
        <is>
          <t>STEP 2 — YOUR TRAINING CONFIGURATION</t>
        </is>
      </c>
    </row>
    <row r="18" ht="15" customHeight="1" s="38">
      <c r="A18" s="43" t="inlineStr">
        <is>
          <t>Batch size (rows per batch)</t>
        </is>
      </c>
      <c r="B18" s="49" t="n">
        <v>256</v>
      </c>
      <c r="C18" s="45" t="inlineStr">
        <is>
          <t>Examples processed at once. Drives activations linearly.</t>
        </is>
      </c>
    </row>
    <row r="19" ht="15" customHeight="1" s="38">
      <c r="A19" s="43" t="inlineStr">
        <is>
          <t>Sequence length (tokens per example)</t>
        </is>
      </c>
      <c r="B19" s="49" t="n">
        <v>100</v>
      </c>
      <c r="C19" s="45" t="inlineStr">
        <is>
          <t>Tokens, or features, per example. Drives activations linearly.</t>
        </is>
      </c>
    </row>
    <row r="20" ht="15" customHeight="1" s="38">
      <c r="A20" s="43" t="inlineStr">
        <is>
          <t>Compute precision</t>
        </is>
      </c>
      <c r="B20" s="44" t="inlineStr">
        <is>
          <t>BF16 mixed precision</t>
        </is>
      </c>
      <c r="C20" s="45" t="inlineStr">
        <is>
          <t>BF16 mixed precision keeps weights in FP32 storage and computes in BF16.</t>
        </is>
      </c>
    </row>
    <row r="21" ht="15" customHeight="1" s="38">
      <c r="A21" s="43" t="inlineStr">
        <is>
          <t>Optimizer</t>
        </is>
      </c>
      <c r="B21" s="44" t="inlineStr">
        <is>
          <t>Standard Adam</t>
        </is>
      </c>
      <c r="C21" s="45" t="inlineStr">
        <is>
          <t>8-bit Adam cuts optimizer state from 8 to 2 bytes per parameter.</t>
        </is>
      </c>
    </row>
    <row r="22" ht="15" customHeight="1" s="38">
      <c r="A22" s="43" t="inlineStr">
        <is>
          <t>Activation checkpointing</t>
        </is>
      </c>
      <c r="B22" s="44" t="inlineStr">
        <is>
          <t>No</t>
        </is>
      </c>
      <c r="C22" s="45" t="inlineStr">
        <is>
          <t>The highest-leverage lever. Costs roughly a third more training time.</t>
        </is>
      </c>
    </row>
    <row r="23" ht="15" customHeight="1" s="38">
      <c r="A23" s="43" t="inlineStr">
        <is>
          <t>Memory-efficient attention</t>
        </is>
      </c>
      <c r="B23" s="44" t="inlineStr">
        <is>
          <t>Yes</t>
        </is>
      </c>
      <c r="C23" s="45" t="inlineStr">
        <is>
          <t>Answer No only if your attention stores the full probability matrix. See the caution below.</t>
        </is>
      </c>
    </row>
    <row r="24" ht="25.5" customHeight="1" s="38">
      <c r="A24" s="41" t="inlineStr">
        <is>
          <t>CAUTION on memory-efficient attention: answering No adds layers x batch size x attention heads x sequence length squared x activation bytes. That term grows with the SQUARE of sequence length and can dominate everything else. It is calculated, not validated — the benchmark behind this workbook only ever ran memory-efficient attention.</t>
        </is>
      </c>
    </row>
    <row r="25"/>
    <row r="26" ht="19.5" customHeight="1" s="38">
      <c r="A26" s="42" t="inlineStr">
        <is>
          <t>STEP 3 — YOUR HARDWARE</t>
        </is>
      </c>
    </row>
    <row r="27" ht="15" customHeight="1" s="38">
      <c r="A27" s="43" t="inlineStr">
        <is>
          <t>GPU</t>
        </is>
      </c>
      <c r="B27" s="44" t="inlineStr">
        <is>
          <t>NVIDIA H100 80GB</t>
        </is>
      </c>
      <c r="C27" s="45" t="inlineStr">
        <is>
          <t>One GPU. Multi-GPU strategies are a later article in the series.</t>
        </is>
      </c>
    </row>
    <row r="28" ht="15" customHeight="1" s="38">
      <c r="A28" s="47" t="inlineStr">
        <is>
          <t>Usable capacity from the table (GB)</t>
        </is>
      </c>
      <c r="B28" s="52">
        <f>INDEX('GPU Capacity'!$C$5:$C$16,MATCH($B$27,'GPU Capacity'!$A$5:$A$16,0))</f>
        <v/>
      </c>
    </row>
    <row r="29" ht="15" customHeight="1" s="38">
      <c r="A29" s="47" t="inlineStr">
        <is>
          <t>Your capacity override (GB)</t>
        </is>
      </c>
      <c r="B29" s="53" t="n"/>
      <c r="C29" s="45" t="inlineStr">
        <is>
          <t>Fill this in if your card is not in the list, or you want to reserve capacity for something else.</t>
        </is>
      </c>
    </row>
    <row r="30" ht="15" customHeight="1" s="38">
      <c r="A30" s="43" t="inlineStr">
        <is>
          <t>Capacity used in the verdict (GB)</t>
        </is>
      </c>
      <c r="B30" s="54">
        <f>IF(B29="",B28,B29)</f>
        <v/>
      </c>
    </row>
    <row r="31"/>
    <row r="32" ht="19.5" customHeight="1" s="38">
      <c r="A32" s="42" t="inlineStr">
        <is>
          <t>OVERHEAD ALLOWANCES — edit only if you have better measurements</t>
        </is>
      </c>
    </row>
    <row r="33" ht="15" customHeight="1" s="38">
      <c r="A33" s="47" t="inlineStr">
        <is>
          <t>CUDA context (GB)</t>
        </is>
      </c>
      <c r="B33" s="53" t="n">
        <v>0.6</v>
      </c>
      <c r="C33" s="45" t="inlineStr">
        <is>
          <t>Estimated. Driver and kernel-library state. Invisible to PyTorch's memory API, so it cannot be measured from inside training. Source: benchmark/predictions.py, CUDA_CONTEXT_OVERHEAD_GB.</t>
        </is>
      </c>
    </row>
    <row r="34" ht="15" customHeight="1" s="38">
      <c r="A34" s="47" t="inlineStr">
        <is>
          <t>Fragmentation allowance, no activation checkpointing (GB)</t>
        </is>
      </c>
      <c r="B34" s="53" t="n">
        <v>1.2</v>
      </c>
      <c r="C34" s="45" t="inlineStr">
        <is>
          <t>Measured range 0.95-1.11 GB across two configurations in benchmark/reference-run/results.csv. Source: benchmark/predictions.py, FRAGMENTATION_GB.</t>
        </is>
      </c>
    </row>
    <row r="35" ht="15" customHeight="1" s="38">
      <c r="A35" s="47" t="inlineStr">
        <is>
          <t>Fragmentation allowance, with activation checkpointing (GB)</t>
        </is>
      </c>
      <c r="B35" s="53" t="n">
        <v>5.2</v>
      </c>
      <c r="C35" s="45" t="inlineStr">
        <is>
          <t>Measured range 3.58-6.12 GB across three configurations in benchmark/reference-run/results.csv. Provisional. Source: benchmark/predictions.py, CHECKPOINTING_FRAGMENTATION_GB.</t>
        </is>
      </c>
    </row>
    <row r="36"/>
    <row r="37" ht="19.5" customHeight="1" s="38">
      <c r="A37" s="42" t="inlineStr">
        <is>
          <t>RESULT — THE LINE ITEMS (GB)</t>
        </is>
      </c>
    </row>
    <row r="38" ht="15" customHeight="1" s="38">
      <c r="A38" s="55" t="inlineStr">
        <is>
          <t>Line item</t>
        </is>
      </c>
      <c r="B38" s="55" t="inlineStr">
        <is>
          <t>Memory (GB)</t>
        </is>
      </c>
    </row>
    <row r="39" ht="15" customHeight="1" s="38">
      <c r="A39" s="43" t="inlineStr">
        <is>
          <t>Weights</t>
        </is>
      </c>
      <c r="B39" s="56">
        <f>E14*4/1000000000</f>
        <v/>
      </c>
      <c r="C39" s="45" t="inlineStr">
        <is>
          <t>Parameter count x 4 bytes. Storage is FP32 even under BF16 mixed precision.</t>
        </is>
      </c>
    </row>
    <row r="40" ht="15" customHeight="1" s="38">
      <c r="A40" s="43" t="inlineStr">
        <is>
          <t>Gradients</t>
        </is>
      </c>
      <c r="B40" s="56">
        <f>E14*4/1000000000</f>
        <v/>
      </c>
      <c r="C40" s="45" t="inlineStr">
        <is>
          <t>One gradient per weight, same precision as the weight.</t>
        </is>
      </c>
    </row>
    <row r="41" ht="15" customHeight="1" s="38">
      <c r="A41" s="43" t="inlineStr">
        <is>
          <t>Optimizer states</t>
        </is>
      </c>
      <c r="B41" s="56">
        <f>E14*$B$63/1000000000</f>
        <v/>
      </c>
      <c r="C41" s="45" t="inlineStr">
        <is>
          <t>Standard Adam: 8 bytes per parameter. 8-bit Adam: 2 bytes per parameter.</t>
        </is>
      </c>
    </row>
    <row r="42" ht="15" customHeight="1" s="38">
      <c r="A42" s="43" t="inlineStr">
        <is>
          <t>BF16 weight cache</t>
        </is>
      </c>
      <c r="B42" s="56">
        <f>IF($B$20="BF16 mixed precision",E14*2,0)/1000000000</f>
        <v/>
      </c>
      <c r="C42" s="45" t="inlineStr">
        <is>
          <t>Exists only under BF16 mixed precision. Released before the peak in most runs.</t>
        </is>
      </c>
    </row>
    <row r="43" ht="15" customHeight="1" s="38">
      <c r="A43" s="43" t="inlineStr">
        <is>
          <t>Activations</t>
        </is>
      </c>
      <c r="B43" s="56">
        <f>IF($B$22="Yes",$B$70,$B$69)/1000000000</f>
        <v/>
      </c>
      <c r="C43" s="45" t="inlineStr">
        <is>
          <t>The dynamic line item. Scales with batch size x sequence length.</t>
        </is>
      </c>
    </row>
    <row r="44" ht="15" customHeight="1" s="38">
      <c r="A44" s="47" t="inlineStr">
        <is>
          <t xml:space="preserve">   implied bytes per element per layer</t>
        </is>
      </c>
      <c r="B44" s="57">
        <f>$B$67/$B$64</f>
        <v/>
      </c>
      <c r="C44" s="45" t="inlineStr">
        <is>
          <t>Ties back to the article's ~40 bytes. Exact at feed-forward multiplier 4 with BF16 compute; higher in FP32. Ignores activation checkpointing.</t>
        </is>
      </c>
    </row>
    <row r="45"/>
    <row r="46" ht="19.5" customHeight="1" s="38">
      <c r="A46" s="42" t="inlineStr">
        <is>
          <t>PEAK MEMORY</t>
        </is>
      </c>
    </row>
    <row r="47" ht="15" customHeight="1" s="38">
      <c r="A47" s="47" t="inlineStr">
        <is>
          <t>Phase peak 1 — backward pass, recomputing (GB)</t>
        </is>
      </c>
      <c r="B47" s="58">
        <f>B39+B41+$B$70/1000000000</f>
        <v/>
      </c>
      <c r="C47" s="45" t="inlineStr">
        <is>
          <t>With activation checkpointing on, peak memory is the LARGEST of these three moments, not their sum.</t>
        </is>
      </c>
    </row>
    <row r="48" ht="15" customHeight="1" s="38">
      <c r="A48" s="47" t="inlineStr">
        <is>
          <t>Phase peak 2 — optimizer step (GB)</t>
        </is>
      </c>
      <c r="B48" s="58">
        <f>B39+B40+B41+IF($B$21="Standard Adam",B40,0)</f>
        <v/>
      </c>
      <c r="C48" s="45" t="inlineStr">
        <is>
          <t>Standard Adam materialises one parameter-sized set of update temporaries. 8-bit Adam updates in place.</t>
        </is>
      </c>
    </row>
    <row r="49" ht="15" customHeight="1" s="38">
      <c r="A49" s="47" t="inlineStr">
        <is>
          <t>Phase peak 3 — forward pass (GB)</t>
        </is>
      </c>
      <c r="B49" s="58">
        <f>B39+B41+B42+E10*$B$64*4/1000000000+$B$71/1000000000+($B$18*$B$19*E13*$B$62+IF($B$20="BF16 mixed precision",$B$18*$B$19*E13*4,0))/1000000000</f>
        <v/>
      </c>
      <c r="C49" s="45" t="inlineStr">
        <is>
          <t>These three rows apply only when activation checkpointing is on.</t>
        </is>
      </c>
    </row>
    <row r="50" ht="15" customHeight="1" s="38">
      <c r="A50" s="43" t="inlineStr">
        <is>
          <t>Which phase sets the peak</t>
        </is>
      </c>
      <c r="B50" s="59">
        <f>IF($B$22="No","Not applicable — checkpointing off; peak is the sum of all line items",IF($B$51=B47,"Backward pass, recomputing",IF($B$51=B48,"Optimizer step","Forward pass")))</f>
        <v/>
      </c>
    </row>
    <row r="51" ht="15" customHeight="1" s="38">
      <c r="A51" s="43" t="inlineStr">
        <is>
          <t>PEAK ALLOCATED (GB)</t>
        </is>
      </c>
      <c r="B51" s="60">
        <f>IF($B$22="Yes",MAX(B47,B48,B49),B39+B40+B41+B42+B43)</f>
        <v/>
      </c>
    </row>
    <row r="52" ht="15" customHeight="1" s="38">
      <c r="A52" s="47" t="inlineStr">
        <is>
          <t>Allocator overhead — CUDA context plus fragmentation (GB)</t>
        </is>
      </c>
      <c r="B52" s="56">
        <f>$B$33+IF($B$22="Yes",$B$35,$B$34)</f>
        <v/>
      </c>
    </row>
    <row r="53" ht="15" customHeight="1" s="38">
      <c r="A53" s="43" t="inlineStr">
        <is>
          <t>TOTAL TO SIZE AGAINST — reserved (GB)</t>
        </is>
      </c>
      <c r="B53" s="60">
        <f>B51+B52</f>
        <v/>
      </c>
      <c r="C53" s="45" t="inlineStr">
        <is>
          <t>Size your GPU against this number, not against peak allocated.</t>
        </is>
      </c>
    </row>
    <row r="54"/>
    <row r="55" ht="19.5" customHeight="1" s="38">
      <c r="A55" s="42" t="inlineStr">
        <is>
          <t>VERDICT</t>
        </is>
      </c>
    </row>
    <row r="56" ht="15" customHeight="1" s="38">
      <c r="A56" s="43" t="inlineStr">
        <is>
          <t>Does this job fit?</t>
        </is>
      </c>
      <c r="B56" s="61">
        <f>IF($B$30&lt;=0,"Enter a capacity override on row 29",IF(B53&lt;=$B$30,"FITS","DOES NOT FIT — expect an out-of-memory error"))</f>
        <v/>
      </c>
      <c r="C56" s="62" t="n"/>
    </row>
    <row r="57" ht="15" customHeight="1" s="38">
      <c r="A57" s="47" t="inlineStr">
        <is>
          <t>Headroom (GB)</t>
        </is>
      </c>
      <c r="B57" s="58">
        <f>$B$30-B53</f>
        <v/>
      </c>
    </row>
    <row r="58" ht="15" customHeight="1" s="38">
      <c r="A58" s="47" t="inlineStr">
        <is>
          <t>Card utilisation</t>
        </is>
      </c>
      <c r="B58" s="63">
        <f>IF($B$30&lt;=0,"",B53/$B$30)</f>
        <v/>
      </c>
    </row>
    <row r="59"/>
    <row r="60" ht="19.5" customHeight="1" s="38">
      <c r="A60" s="42" t="inlineStr">
        <is>
          <t>WORKINGS — every result above traces to these cells</t>
        </is>
      </c>
    </row>
    <row r="61" ht="15" customHeight="1" s="38">
      <c r="A61" s="47" t="inlineStr">
        <is>
          <t>Activation bytes per element</t>
        </is>
      </c>
      <c r="B61" s="50">
        <f>IF($B$20="BF16 mixed precision",2,4)</f>
        <v/>
      </c>
      <c r="C61" s="45" t="inlineStr">
        <is>
          <t>2 bytes under BF16 compute, 4 under FP32.</t>
        </is>
      </c>
    </row>
    <row r="62" ht="15" customHeight="1" s="38">
      <c r="A62" s="47" t="inlineStr">
        <is>
          <t>Activation bytes per element (repeat, used in row 49)</t>
        </is>
      </c>
      <c r="B62" s="50">
        <f>$B$61</f>
        <v/>
      </c>
    </row>
    <row r="63" ht="15" customHeight="1" s="38">
      <c r="A63" s="47" t="inlineStr">
        <is>
          <t>Optimizer bytes per parameter</t>
        </is>
      </c>
      <c r="B63" s="50">
        <f>IF($B$21="8-bit Adam",2,8)</f>
        <v/>
      </c>
      <c r="C63" s="45" t="inlineStr">
        <is>
          <t>Momentum plus variance. FP32 each, or INT8 each.</t>
        </is>
      </c>
    </row>
    <row r="64" ht="15" customHeight="1" s="38">
      <c r="A64" s="47" t="inlineStr">
        <is>
          <t>Elements per (batch x sequence x hidden) tensor</t>
        </is>
      </c>
      <c r="B64" s="50">
        <f>$B$18*$B$19*E9</f>
        <v/>
      </c>
    </row>
    <row r="65" ht="15" customHeight="1" s="38">
      <c r="A65" s="47" t="inlineStr">
        <is>
          <t>Elements per feed-forward tensor</t>
        </is>
      </c>
      <c r="B65" s="50">
        <f>$B$18*$B$19*E12*E9</f>
        <v/>
      </c>
    </row>
    <row r="66" ht="15" customHeight="1" s="38">
      <c r="A66" s="47" t="inlineStr">
        <is>
          <t>Attention-matrix elements per layer (only if memory-efficient attention = No)</t>
        </is>
      </c>
      <c r="B66" s="50">
        <f>IF($B$23="No",$B$18*E11*$B$19*$B$19,0)</f>
        <v/>
      </c>
      <c r="C66" s="45" t="inlineStr">
        <is>
          <t>Zero with memory-efficient attention, which never materialises the full matrix.</t>
        </is>
      </c>
    </row>
    <row r="67" ht="15" customHeight="1" s="38">
      <c r="A67" s="47" t="inlineStr">
        <is>
          <t>Per-layer activation bytes, no checkpointing</t>
        </is>
      </c>
      <c r="B67" s="50">
        <f>9*$B$64*$B$61+2*$B$65*$B$61+2*$B$64+$B$65+$B$66*$B$61</f>
        <v/>
      </c>
      <c r="C67" s="45" t="inlineStr">
        <is>
          <t>Seven attention tensors plus two feed-forward pre-norm tensors, two feed-forward hidden tensors, three 1-byte dropout masks.</t>
        </is>
      </c>
    </row>
    <row r="68" ht="15" customHeight="1" s="38">
      <c r="A68" s="47" t="inlineStr">
        <is>
          <t>Once-per-model activation bytes</t>
        </is>
      </c>
      <c r="B68" s="50">
        <f>$B$64*$B$61+$B$18*$B$19*E13*$B$61+IF($B$20="BF16 mixed precision",$B$18*$B$19*E13*4,0)</f>
        <v/>
      </c>
      <c r="C68" s="45" t="inlineStr">
        <is>
          <t>Embedding output, logits, and the FP32 loss upcast that BF16 autocast forces.</t>
        </is>
      </c>
    </row>
    <row r="69" ht="15" customHeight="1" s="38">
      <c r="A69" s="47" t="inlineStr">
        <is>
          <t>Activations, no checkpointing (bytes)</t>
        </is>
      </c>
      <c r="B69" s="50">
        <f>$B$67*E10+$B$68</f>
        <v/>
      </c>
    </row>
    <row r="70" ht="15" customHeight="1" s="38">
      <c r="A70" s="47" t="inlineStr">
        <is>
          <t>Activations, with checkpointing (bytes)</t>
        </is>
      </c>
      <c r="B70" s="50">
        <f>(E10+3)*$B$64*4+7*$B$64*$B$61+3*$B$65*$B$61+$B$64+$B$18*$B$19*E13*$B$61+IF($B$23="No",$B$66*$B$61,0)</f>
        <v/>
      </c>
      <c r="C70" s="45" t="inlineStr">
        <is>
          <t>Saved layer boundaries are 4 bytes per element even under BF16 — layer norms and residual adds run in FP32.</t>
        </is>
      </c>
    </row>
    <row r="71" ht="15" customHeight="1" s="38">
      <c r="A71" s="47" t="inlineStr">
        <is>
          <t>One segment's forward transient (bytes)</t>
        </is>
      </c>
      <c r="B71" s="50">
        <f>(2*E12*E9+3*E9)*$B$18*$B$19*$B$61</f>
        <v/>
      </c>
    </row>
    <row r="72"/>
    <row r="73" ht="15" customHeight="1" s="38">
      <c r="A73" s="64" t="inlineStr">
        <is>
          <t>Source for every formula on this tab: benchmark/predictions.py in odog96/gpu-sizing-playbook, validated against the 24-configuration H100 80GB sweep in benchmark/reference-run/results.csv. See the Validation tab for the config-by-config comparison, and the Notes &amp; Sources tab for what is measured, calculated, and unvalidated.</t>
        </is>
      </c>
    </row>
    <row r="74" ht="15" customHeight="1" s="38"/>
  </sheetData>
  <mergeCells count="13">
    <mergeCell ref="A24:F24"/>
    <mergeCell ref="A73:F74"/>
    <mergeCell ref="A60:F60"/>
    <mergeCell ref="A46:F46"/>
    <mergeCell ref="A3:F3"/>
    <mergeCell ref="A5:F5"/>
    <mergeCell ref="A37:F37"/>
    <mergeCell ref="A32:F32"/>
    <mergeCell ref="A26:F26"/>
    <mergeCell ref="A17:F17"/>
    <mergeCell ref="B56:C56"/>
    <mergeCell ref="A55:F55"/>
    <mergeCell ref="A15:F15"/>
  </mergeCells>
  <dataValidations count="5">
    <dataValidation sqref="B6" showDropDown="0" showInputMessage="0" showErrorMessage="0" allowBlank="0" type="list" errorStyle="stop" operator="between">
      <formula1>'Model Presets'!$A$5:$A$13</formula1>
      <formula2>0</formula2>
    </dataValidation>
    <dataValidation sqref="B27" showDropDown="0" showInputMessage="0" showErrorMessage="0" allowBlank="0" type="list" errorStyle="stop">
      <formula1>'GPU Capacity'!$A$5:$A$16</formula1>
    </dataValidation>
    <dataValidation sqref="B20" showDropDown="0" showInputMessage="0" showErrorMessage="0" allowBlank="0" type="list" errorStyle="stop" operator="between">
      <formula1>"BF16 mixed precision,FP32"</formula1>
      <formula2>0</formula2>
    </dataValidation>
    <dataValidation sqref="B21" showDropDown="0" showInputMessage="0" showErrorMessage="0" allowBlank="0" type="list" errorStyle="stop" operator="between">
      <formula1>"Standard Adam,8-bit Adam"</formula1>
      <formula2>0</formula2>
    </dataValidation>
    <dataValidation sqref="B22:B23" showDropDown="0" showInputMessage="0" showErrorMessage="0" allowBlank="0"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7" min="1" max="1"/>
    <col width="16" customWidth="1" style="37" min="2" max="2"/>
    <col width="10" customWidth="1" style="37" min="3" max="3"/>
    <col width="14" customWidth="1" style="37" min="4" max="4"/>
    <col width="18" customWidth="1" style="37" min="5" max="5"/>
    <col width="20" customWidth="1" style="37" min="6" max="6"/>
    <col width="22" customWidth="1" style="37" min="7" max="7"/>
    <col width="46" customWidth="1" style="37" min="8" max="8"/>
  </cols>
  <sheetData>
    <row r="1" ht="16.15" customHeight="1" s="38">
      <c r="A1" s="65" t="inlineStr">
        <is>
          <t>Architecture presets — pick a model size on the Sizing Tool tab and these fill in automatically</t>
        </is>
      </c>
    </row>
    <row r="2" ht="15" customHeight="1" s="38">
      <c r="A2" s="66" t="inlineStr">
        <is>
          <t>You never have to know these numbers. They exist so the activation math has an architecture to work with. Override any of them on the Sizing Tool tab if you know your real model's shape.</t>
        </is>
      </c>
    </row>
    <row r="3"/>
    <row r="4" ht="23.85" customHeight="1" s="38">
      <c r="A4" s="67" t="inlineStr">
        <is>
          <t>Preset</t>
        </is>
      </c>
      <c r="B4" s="67" t="inlineStr">
        <is>
          <t>Hidden dimension</t>
        </is>
      </c>
      <c r="C4" s="67" t="inlineStr">
        <is>
          <t>Layers</t>
        </is>
      </c>
      <c r="D4" s="67" t="inlineStr">
        <is>
          <t>Attention heads</t>
        </is>
      </c>
      <c r="E4" s="67" t="inlineStr">
        <is>
          <t>Feed-forward multiplier</t>
        </is>
      </c>
      <c r="F4" s="67" t="inlineStr">
        <is>
          <t>Output vocabulary / output width</t>
        </is>
      </c>
      <c r="G4" s="67" t="inlineStr">
        <is>
          <t>Parameter count (calculated)</t>
        </is>
      </c>
      <c r="H4" s="67" t="inlineStr">
        <is>
          <t>Source of these shapes</t>
        </is>
      </c>
    </row>
    <row r="5" ht="15" customHeight="1" s="38">
      <c r="A5" s="59" t="inlineStr">
        <is>
          <t>Article 1 worked model (1.0B)</t>
        </is>
      </c>
      <c r="B5" s="50" t="n">
        <v>2048</v>
      </c>
      <c r="C5" s="50" t="n">
        <v>20</v>
      </c>
      <c r="D5" s="50" t="n">
        <v>16</v>
      </c>
      <c r="E5" s="50" t="n">
        <v>4</v>
      </c>
      <c r="F5" s="50" t="n">
        <v>1000</v>
      </c>
      <c r="G5" s="50">
        <f>(4+2*E5)*B5^2*C5+2*F5*B5</f>
        <v/>
      </c>
      <c r="H5" s="68" t="inlineStr">
        <is>
          <t>Exact architecture benchmarked in benchmark/reference-run/results.csv</t>
        </is>
      </c>
    </row>
    <row r="6" ht="15" customHeight="1" s="38">
      <c r="A6" s="59" t="inlineStr">
        <is>
          <t>125M</t>
        </is>
      </c>
      <c r="B6" s="50" t="n">
        <v>768</v>
      </c>
      <c r="C6" s="50" t="n">
        <v>12</v>
      </c>
      <c r="D6" s="50" t="n">
        <v>12</v>
      </c>
      <c r="E6" s="50" t="n">
        <v>4</v>
      </c>
      <c r="F6" s="50" t="n">
        <v>32000</v>
      </c>
      <c r="G6" s="50">
        <f>(4+2*E6)*B6^2*C6+2*F6*B6</f>
        <v/>
      </c>
      <c r="H6" s="68" t="inlineStr">
        <is>
          <t>Conventional transformer shape for this size class</t>
        </is>
      </c>
    </row>
    <row r="7" ht="15" customHeight="1" s="38">
      <c r="A7" s="59" t="inlineStr">
        <is>
          <t>350M</t>
        </is>
      </c>
      <c r="B7" s="50" t="n">
        <v>1024</v>
      </c>
      <c r="C7" s="50" t="n">
        <v>24</v>
      </c>
      <c r="D7" s="50" t="n">
        <v>16</v>
      </c>
      <c r="E7" s="50" t="n">
        <v>4</v>
      </c>
      <c r="F7" s="50" t="n">
        <v>32000</v>
      </c>
      <c r="G7" s="50">
        <f>(4+2*E7)*B7^2*C7+2*F7*B7</f>
        <v/>
      </c>
      <c r="H7" s="68" t="inlineStr">
        <is>
          <t>Conventional transformer shape for this size class</t>
        </is>
      </c>
    </row>
    <row r="8" ht="15" customHeight="1" s="38">
      <c r="A8" s="59" t="inlineStr">
        <is>
          <t>1B</t>
        </is>
      </c>
      <c r="B8" s="50" t="n">
        <v>2048</v>
      </c>
      <c r="C8" s="50" t="n">
        <v>18</v>
      </c>
      <c r="D8" s="50" t="n">
        <v>16</v>
      </c>
      <c r="E8" s="50" t="n">
        <v>4</v>
      </c>
      <c r="F8" s="50" t="n">
        <v>32000</v>
      </c>
      <c r="G8" s="50">
        <f>(4+2*E8)*B8^2*C8+2*F8*B8</f>
        <v/>
      </c>
      <c r="H8" s="68" t="inlineStr">
        <is>
          <t>Conventional transformer shape for this size class</t>
        </is>
      </c>
    </row>
    <row r="9" ht="15" customHeight="1" s="38">
      <c r="A9" s="59" t="inlineStr">
        <is>
          <t>3B</t>
        </is>
      </c>
      <c r="B9" s="50" t="n">
        <v>2560</v>
      </c>
      <c r="C9" s="50" t="n">
        <v>32</v>
      </c>
      <c r="D9" s="50" t="n">
        <v>20</v>
      </c>
      <c r="E9" s="50" t="n">
        <v>4</v>
      </c>
      <c r="F9" s="50" t="n">
        <v>32000</v>
      </c>
      <c r="G9" s="50">
        <f>(4+2*E9)*B9^2*C9+2*F9*B9</f>
        <v/>
      </c>
      <c r="H9" s="68" t="inlineStr">
        <is>
          <t>Conventional transformer shape for this size class</t>
        </is>
      </c>
    </row>
    <row r="10" ht="15" customHeight="1" s="38">
      <c r="A10" s="59" t="inlineStr">
        <is>
          <t>7B</t>
        </is>
      </c>
      <c r="B10" s="50" t="n">
        <v>4096</v>
      </c>
      <c r="C10" s="50" t="n">
        <v>32</v>
      </c>
      <c r="D10" s="50" t="n">
        <v>32</v>
      </c>
      <c r="E10" s="50" t="n">
        <v>4</v>
      </c>
      <c r="F10" s="50" t="n">
        <v>32000</v>
      </c>
      <c r="G10" s="50">
        <f>(4+2*E10)*B10^2*C10+2*F10*B10</f>
        <v/>
      </c>
      <c r="H10" s="68" t="inlineStr">
        <is>
          <t>Conventional transformer shape for this size class</t>
        </is>
      </c>
    </row>
    <row r="11" ht="15" customHeight="1" s="38">
      <c r="A11" s="59" t="inlineStr">
        <is>
          <t>13B</t>
        </is>
      </c>
      <c r="B11" s="50" t="n">
        <v>5120</v>
      </c>
      <c r="C11" s="50" t="n">
        <v>40</v>
      </c>
      <c r="D11" s="50" t="n">
        <v>40</v>
      </c>
      <c r="E11" s="50" t="n">
        <v>4</v>
      </c>
      <c r="F11" s="50" t="n">
        <v>32000</v>
      </c>
      <c r="G11" s="50">
        <f>(4+2*E11)*B11^2*C11+2*F11*B11</f>
        <v/>
      </c>
      <c r="H11" s="68" t="inlineStr">
        <is>
          <t>Conventional transformer shape for this size class</t>
        </is>
      </c>
    </row>
    <row r="12" ht="15" customHeight="1" s="38">
      <c r="A12" s="59" t="inlineStr">
        <is>
          <t>30B</t>
        </is>
      </c>
      <c r="B12" s="50" t="n">
        <v>6656</v>
      </c>
      <c r="C12" s="50" t="n">
        <v>60</v>
      </c>
      <c r="D12" s="50" t="n">
        <v>52</v>
      </c>
      <c r="E12" s="50" t="n">
        <v>4</v>
      </c>
      <c r="F12" s="50" t="n">
        <v>32000</v>
      </c>
      <c r="G12" s="50">
        <f>(4+2*E12)*B12^2*C12+2*F12*B12</f>
        <v/>
      </c>
      <c r="H12" s="68" t="inlineStr">
        <is>
          <t>Conventional transformer shape for this size class</t>
        </is>
      </c>
    </row>
    <row r="13" ht="15" customHeight="1" s="38">
      <c r="A13" s="59" t="inlineStr">
        <is>
          <t>70B</t>
        </is>
      </c>
      <c r="B13" s="50" t="n">
        <v>8192</v>
      </c>
      <c r="C13" s="50" t="n">
        <v>80</v>
      </c>
      <c r="D13" s="50" t="n">
        <v>64</v>
      </c>
      <c r="E13" s="50" t="n">
        <v>4</v>
      </c>
      <c r="F13" s="50" t="n">
        <v>32000</v>
      </c>
      <c r="G13" s="50">
        <f>(4+2*E13)*B13^2*C13+2*F13*B13</f>
        <v/>
      </c>
      <c r="H13" s="68" t="inlineStr">
        <is>
          <t>Conventional transformer shape for this size class</t>
        </is>
      </c>
    </row>
    <row r="14"/>
    <row r="15" ht="15" customHeight="1" s="38">
      <c r="A15" s="64" t="inlineStr">
        <is>
          <t>Parameter-count formula: (4 + 2 x feed-forward multiplier) x hidden dimension^2 x layers + 2 x output vocabulary x hidden dimension. Source: benchmark/model.py, analytical_param_count(), in odog96/gpu-sizing-playbook. It ignores biases and layer-norm parameters (~0.05% of the total: the Article 1 worked model measures 1,011,262,440 parameters on device vs. 1,010,728,960 calculated here).</t>
        </is>
      </c>
    </row>
    <row r="16" ht="15" customHeight="1" s="38"/>
    <row r="17" ht="15" customHeight="1" s="38"/>
  </sheetData>
  <mergeCells count="1">
    <mergeCell ref="A15:H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7" min="1" max="1"/>
    <col width="20" customWidth="1" style="37" min="2" max="2"/>
    <col width="26" customWidth="1" style="37" min="3" max="3"/>
    <col width="62" customWidth="1" style="37" min="4" max="4"/>
  </cols>
  <sheetData>
    <row r="1" ht="16.15" customHeight="1" s="38">
      <c r="A1" s="65" t="inlineStr">
        <is>
          <t>GPU usable capacity</t>
        </is>
      </c>
    </row>
    <row r="2" ht="15" customHeight="1" s="38">
      <c r="A2" s="66" t="inlineStr">
        <is>
          <t>Units are decimal GB (1 GB = 1,000,000,000 bytes) throughout this workbook, matching benchmark/predictions.py. A card's advertised size is in GiB, which is why an '80 GB' card shows 85 GB here.</t>
        </is>
      </c>
    </row>
    <row r="3"/>
    <row r="4" ht="23.85" customHeight="1" s="38">
      <c r="A4" s="67" t="inlineStr">
        <is>
          <t>GPU</t>
        </is>
      </c>
      <c r="B4" s="67" t="inlineStr">
        <is>
          <t>Advertised size (GiB)</t>
        </is>
      </c>
      <c r="C4" s="67" t="inlineStr">
        <is>
          <t>Usable capacity (GB, decimal)</t>
        </is>
      </c>
      <c r="D4" s="67" t="inlineStr">
        <is>
          <t>Basis</t>
        </is>
      </c>
    </row>
    <row r="5" ht="15" customHeight="1" s="38">
      <c r="A5" s="59" t="inlineStr">
        <is>
          <t>NVIDIA H100 80GB</t>
        </is>
      </c>
      <c r="B5" s="50" t="n">
        <v>80</v>
      </c>
      <c r="C5" s="58">
        <f>79.18*1024^3/1000000000</f>
        <v/>
      </c>
      <c r="D5" s="68" t="inlineStr">
        <is>
          <t>Measured — torch reported 79.18 GiB usable in this benchmark's own out-of-memory messages</t>
        </is>
      </c>
    </row>
    <row r="6" ht="15" customHeight="1" s="38">
      <c r="A6" s="59" t="inlineStr">
        <is>
          <t>NVIDIA A100 80GB</t>
        </is>
      </c>
      <c r="B6" s="50" t="n">
        <v>80</v>
      </c>
      <c r="C6" s="58">
        <f>79.18*1024^3/1000000000</f>
        <v/>
      </c>
      <c r="D6" s="68" t="inlineStr">
        <is>
          <t>Estimated — same 80 GiB class as the measured H100 row above</t>
        </is>
      </c>
    </row>
    <row r="7" ht="15" customHeight="1" s="38">
      <c r="A7" s="59" t="inlineStr">
        <is>
          <t>NVIDIA A100 40GB</t>
        </is>
      </c>
      <c r="B7" s="50" t="n">
        <v>40</v>
      </c>
      <c r="C7" s="58">
        <f>B7*1024^3/1000000000*0.99</f>
        <v/>
      </c>
      <c r="D7" s="68" t="inlineStr">
        <is>
          <t>Estimated — advertised size less 1% for driver reserve</t>
        </is>
      </c>
    </row>
    <row r="8" ht="15" customHeight="1" s="38">
      <c r="A8" s="59" t="inlineStr">
        <is>
          <t>NVIDIA L40S 48GB</t>
        </is>
      </c>
      <c r="B8" s="50" t="n">
        <v>48</v>
      </c>
      <c r="C8" s="58">
        <f>B8*1024^3/1000000000*0.99</f>
        <v/>
      </c>
      <c r="D8" s="68" t="inlineStr">
        <is>
          <t>Estimated — advertised size less 1% for driver reserve</t>
        </is>
      </c>
    </row>
    <row r="9" ht="15" customHeight="1" s="38">
      <c r="A9" s="59" t="inlineStr">
        <is>
          <t>NVIDIA RTX PRO 6000 Blackwell 96GB</t>
        </is>
      </c>
      <c r="B9" s="50" t="n">
        <v>96</v>
      </c>
      <c r="C9" s="58">
        <f>B9*1024^3/1000000000*0.99</f>
        <v/>
      </c>
      <c r="D9" s="68" t="inlineStr">
        <is>
          <t>Estimated — advertised size less 1% for driver reserve</t>
        </is>
      </c>
    </row>
    <row r="10" ht="15" customHeight="1" s="38">
      <c r="A10" s="59" t="inlineStr">
        <is>
          <t>NVIDIA A10G 24GB</t>
        </is>
      </c>
      <c r="B10" s="50" t="n">
        <v>24</v>
      </c>
      <c r="C10" s="58">
        <f>B10*1024^3/1000000000*0.99</f>
        <v/>
      </c>
      <c r="D10" s="68" t="inlineStr">
        <is>
          <t>Estimated — advertised size less 1% for driver reserve</t>
        </is>
      </c>
    </row>
    <row r="11" ht="15" customHeight="1" s="38">
      <c r="A11" s="59" t="inlineStr">
        <is>
          <t>NVIDIA RTX 4090 24GB</t>
        </is>
      </c>
      <c r="B11" s="50" t="n">
        <v>24</v>
      </c>
      <c r="C11" s="58">
        <f>B11*1024^3/1000000000*0.99</f>
        <v/>
      </c>
      <c r="D11" s="68" t="inlineStr">
        <is>
          <t>Estimated — advertised size less 1% for driver reserve</t>
        </is>
      </c>
    </row>
    <row r="12" ht="15" customHeight="1" s="38">
      <c r="A12" s="37" t="inlineStr">
        <is>
          <t>NVIDIA H200 141GB</t>
        </is>
      </c>
      <c r="B12" s="37" t="n">
        <v>141</v>
      </c>
      <c r="C12" s="37">
        <f>B12*1024^3/1000000000*0.99</f>
        <v/>
      </c>
      <c r="D12" s="37" t="inlineStr">
        <is>
          <t>Estimated — advertised size less 1% for driver reserve</t>
        </is>
      </c>
    </row>
    <row r="13">
      <c r="A13" s="37" t="inlineStr">
        <is>
          <t>NVIDIA B200 180GB</t>
        </is>
      </c>
      <c r="B13" s="37" t="n">
        <v>180</v>
      </c>
      <c r="C13" s="37">
        <f>B13*1024^3/1000000000*0.99</f>
        <v/>
      </c>
      <c r="D13" s="37" t="inlineStr">
        <is>
          <t>Estimated — advertised size less 1% for driver reserve</t>
        </is>
      </c>
    </row>
    <row r="14">
      <c r="A14" s="37" t="inlineStr">
        <is>
          <t>NVIDIA H100 NVL 94GB</t>
        </is>
      </c>
      <c r="B14" s="37" t="n">
        <v>94</v>
      </c>
      <c r="C14" s="37">
        <f>B14*1024^3/1000000000*0.99</f>
        <v/>
      </c>
      <c r="D14" s="37" t="inlineStr">
        <is>
          <t>Estimated — advertised size less 1% for driver reserve</t>
        </is>
      </c>
    </row>
    <row r="15">
      <c r="A15" s="37" t="inlineStr">
        <is>
          <t>NVIDIA RTX 6000 Ada 48GB</t>
        </is>
      </c>
      <c r="B15" s="37" t="n">
        <v>48</v>
      </c>
      <c r="C15" s="37">
        <f>B15*1024^3/1000000000*0.99</f>
        <v/>
      </c>
      <c r="D15" s="37" t="inlineStr">
        <is>
          <t>Estimated — advertised size less 1% for driver reserve</t>
        </is>
      </c>
    </row>
    <row r="16">
      <c r="A16" s="59" t="inlineStr">
        <is>
          <t>Other — use the override cell on the Sizing Tool tab</t>
        </is>
      </c>
      <c r="B16" s="50" t="n">
        <v>0</v>
      </c>
      <c r="C16" s="58">
        <f>0</f>
        <v/>
      </c>
      <c r="D16" s="68" t="inlineStr">
        <is>
          <t>Enter your own usable capacity on the Sizing Tool tab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I32"/>
  <sheetViews>
    <sheetView showFormulas="0" showGridLines="1"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20" customWidth="1" style="37" min="1" max="1"/>
    <col width="13" customWidth="1" style="37" min="2" max="2"/>
    <col width="15" customWidth="1" style="37" min="3" max="35"/>
  </cols>
  <sheetData>
    <row r="1" ht="16.15" customHeight="1" s="38">
      <c r="A1" s="65" t="inlineStr">
        <is>
          <t>Validation — the same formulas, run against all 24 configurations of the H100 80GB sweep</t>
        </is>
      </c>
    </row>
    <row r="2" ht="15" customHeight="1" s="38">
      <c r="A2" s="66" t="inlineStr">
        <is>
          <t>Every white column is calculated live by the same arithmetic as the Sizing Tool tab. The measured columns come from benchmark/reference-run/results.csv in odog96/gpu-sizing-playbook. Error is calculated peak allocated against measured peak allocated; blank where the configuration ran out of memory.</t>
        </is>
      </c>
    </row>
    <row r="3" ht="15" customHeight="1" s="38">
      <c r="B3" s="43" t="inlineStr">
        <is>
          <t>Usable capacity used for the out-of-memory call (GB):</t>
        </is>
      </c>
      <c r="C3" s="69">
        <f>79.18*1024^3/1000000000</f>
        <v/>
      </c>
    </row>
    <row r="4"/>
    <row r="5" ht="45.75" customHeight="1" s="38">
      <c r="A5" s="67" t="inlineStr">
        <is>
          <t>Lever</t>
        </is>
      </c>
      <c r="B5" s="67" t="inlineStr">
        <is>
          <t>Lever value</t>
        </is>
      </c>
      <c r="C5" s="67" t="inlineStr">
        <is>
          <t>Hidden dim</t>
        </is>
      </c>
      <c r="D5" s="67" t="inlineStr">
        <is>
          <t>Layers</t>
        </is>
      </c>
      <c r="E5" s="67" t="inlineStr">
        <is>
          <t>Heads</t>
        </is>
      </c>
      <c r="F5" s="67" t="inlineStr">
        <is>
          <t>FF mult</t>
        </is>
      </c>
      <c r="G5" s="67" t="inlineStr">
        <is>
          <t>Vocab</t>
        </is>
      </c>
      <c r="H5" s="67" t="inlineStr">
        <is>
          <t>Batch size</t>
        </is>
      </c>
      <c r="I5" s="67" t="inlineStr">
        <is>
          <t>Sequence length</t>
        </is>
      </c>
      <c r="J5" s="67" t="inlineStr">
        <is>
          <t>Precision</t>
        </is>
      </c>
      <c r="K5" s="67" t="inlineStr">
        <is>
          <t>Optimizer</t>
        </is>
      </c>
      <c r="L5" s="67" t="inlineStr">
        <is>
          <t>Checkpointing</t>
        </is>
      </c>
      <c r="M5" s="67" t="inlineStr">
        <is>
          <t>Parameter count</t>
        </is>
      </c>
      <c r="N5" s="67" t="inlineStr">
        <is>
          <t>Activation bytes/elem</t>
        </is>
      </c>
      <c r="O5" s="67" t="inlineStr">
        <is>
          <t>Elements B*S*d</t>
        </is>
      </c>
      <c r="P5" s="67" t="inlineStr">
        <is>
          <t>Elements B*S*f*d</t>
        </is>
      </c>
      <c r="Q5" s="67" t="inlineStr">
        <is>
          <t>Per-layer bytes</t>
        </is>
      </c>
      <c r="R5" s="67" t="inlineStr">
        <is>
          <t>Once-per-model bytes</t>
        </is>
      </c>
      <c r="S5" s="67" t="inlineStr">
        <is>
          <t>Activations no ckpt (bytes)</t>
        </is>
      </c>
      <c r="T5" s="67" t="inlineStr">
        <is>
          <t>Activations ckpt (bytes)</t>
        </is>
      </c>
      <c r="U5" s="67" t="inlineStr">
        <is>
          <t>Segment transient (bytes)</t>
        </is>
      </c>
      <c r="V5" s="67" t="inlineStr">
        <is>
          <t>Weights (GB)</t>
        </is>
      </c>
      <c r="W5" s="67" t="inlineStr">
        <is>
          <t>Gradients (GB)</t>
        </is>
      </c>
      <c r="X5" s="67" t="inlineStr">
        <is>
          <t>Optimizer (GB)</t>
        </is>
      </c>
      <c r="Y5" s="67" t="inlineStr">
        <is>
          <t>BF16 cache (GB)</t>
        </is>
      </c>
      <c r="Z5" s="67" t="inlineStr">
        <is>
          <t>Activations (GB)</t>
        </is>
      </c>
      <c r="AA5" s="67" t="inlineStr">
        <is>
          <t>Phase 1 backward (GB)</t>
        </is>
      </c>
      <c r="AB5" s="67" t="inlineStr">
        <is>
          <t>Phase 2 opt step (GB)</t>
        </is>
      </c>
      <c r="AC5" s="67" t="inlineStr">
        <is>
          <t>Phase 3 forward (GB)</t>
        </is>
      </c>
      <c r="AD5" s="67" t="inlineStr">
        <is>
          <t>PEAK ALLOCATED calc (GB)</t>
        </is>
      </c>
      <c r="AE5" s="67" t="inlineStr">
        <is>
          <t>RESERVED calc (GB)</t>
        </is>
      </c>
      <c r="AF5" s="67" t="inlineStr">
        <is>
          <t>Predicted</t>
        </is>
      </c>
      <c r="AG5" s="67" t="inlineStr">
        <is>
          <t>Measured allocated (GB)</t>
        </is>
      </c>
      <c r="AH5" s="67" t="inlineStr">
        <is>
          <t>Measured reserved (GB)</t>
        </is>
      </c>
      <c r="AI5" s="67" t="inlineStr">
        <is>
          <t>Error vs measured</t>
        </is>
      </c>
    </row>
    <row r="6" ht="15" customHeight="1" s="38">
      <c r="A6" s="70" t="inlineStr">
        <is>
          <t>baseline</t>
        </is>
      </c>
      <c r="B6" s="70" t="inlineStr">
        <is>
          <t>baseline</t>
        </is>
      </c>
      <c r="C6" s="71" t="n">
        <v>2048</v>
      </c>
      <c r="D6" s="71" t="n">
        <v>20</v>
      </c>
      <c r="E6" s="71" t="n">
        <v>16</v>
      </c>
      <c r="F6" s="71" t="n">
        <v>4</v>
      </c>
      <c r="G6" s="71" t="n">
        <v>1000</v>
      </c>
      <c r="H6" s="71" t="n">
        <v>256</v>
      </c>
      <c r="I6" s="71" t="n">
        <v>100</v>
      </c>
      <c r="J6" s="70" t="inlineStr">
        <is>
          <t>amp_bf16</t>
        </is>
      </c>
      <c r="K6" s="70" t="inlineStr">
        <is>
          <t>adam</t>
        </is>
      </c>
      <c r="L6" s="70" t="inlineStr">
        <is>
          <t>No</t>
        </is>
      </c>
      <c r="M6" s="71" t="n">
        <v>1011262440</v>
      </c>
      <c r="N6" s="50">
        <f>IF(J6="amp_bf16",2,4)</f>
        <v/>
      </c>
      <c r="O6" s="50">
        <f>H6*I6*C6</f>
        <v/>
      </c>
      <c r="P6" s="50">
        <f>H6*I6*F6*C6</f>
        <v/>
      </c>
      <c r="Q6" s="50">
        <f>9*O6*N6+2*P6*N6+2*O6+P6</f>
        <v/>
      </c>
      <c r="R6" s="50">
        <f>O6*N6+H6*I6*G6*N6+IF(J6="amp_bf16",H6*I6*G6*4,0)</f>
        <v/>
      </c>
      <c r="S6" s="50">
        <f>Q6*D6+R6</f>
        <v/>
      </c>
      <c r="T6" s="50">
        <f>(D6+3)*O6*4+7*O6*N6+3*P6*N6+O6+H6*I6*G6*N6</f>
        <v/>
      </c>
      <c r="U6" s="50">
        <f>(2*F6*C6+3*C6)*H6*I6*N6</f>
        <v/>
      </c>
      <c r="V6" s="58">
        <f>M6*4/1000000000</f>
        <v/>
      </c>
      <c r="W6" s="58">
        <f>M6*4/1000000000</f>
        <v/>
      </c>
      <c r="X6" s="58">
        <f>M6*IF(K6="adam8bit",2,8)/1000000000</f>
        <v/>
      </c>
      <c r="Y6" s="58">
        <f>IF(J6="amp_bf16",M6*2,0)/1000000000</f>
        <v/>
      </c>
      <c r="Z6" s="58">
        <f>IF(L6="Yes",T6,S6)/1000000000</f>
        <v/>
      </c>
      <c r="AA6" s="58">
        <f>V6+X6+T6/1000000000</f>
        <v/>
      </c>
      <c r="AB6" s="58">
        <f>V6+W6+X6+IF(K6="adam",W6,0)</f>
        <v/>
      </c>
      <c r="AC6" s="58">
        <f>V6+X6+Y6+D6*O6*4/1000000000+U6/1000000000+(H6*I6*G6*N6+IF(J6="amp_bf16",H6*I6*G6*4,0))/1000000000</f>
        <v/>
      </c>
      <c r="AD6" s="58">
        <f>IF(L6="Yes",MAX(AA6,AB6,AC6),V6+W6+X6+Y6+Z6)</f>
        <v/>
      </c>
      <c r="AE6" s="58">
        <f>AD6+0.6+IF(L6="Yes",5.2,1.2)</f>
        <v/>
      </c>
      <c r="AF6" s="58">
        <f>IF(AE6&gt;$C$3,"OOM","fits")</f>
        <v/>
      </c>
      <c r="AG6" s="72" t="n">
        <v>59.2206</v>
      </c>
      <c r="AH6" s="72" t="n">
        <v>60.1673</v>
      </c>
      <c r="AI6" s="73">
        <f>IF(ISNUMBER(AG6),(AD6-AG6)/AG6,"")</f>
        <v/>
      </c>
    </row>
    <row r="7" ht="15" customHeight="1" s="38">
      <c r="A7" s="70" t="inlineStr">
        <is>
          <t>batch_size</t>
        </is>
      </c>
      <c r="B7" s="70" t="inlineStr">
        <is>
          <t>256</t>
        </is>
      </c>
      <c r="C7" s="71" t="n">
        <v>2048</v>
      </c>
      <c r="D7" s="71" t="n">
        <v>20</v>
      </c>
      <c r="E7" s="71" t="n">
        <v>16</v>
      </c>
      <c r="F7" s="71" t="n">
        <v>4</v>
      </c>
      <c r="G7" s="71" t="n">
        <v>1000</v>
      </c>
      <c r="H7" s="71" t="n">
        <v>256</v>
      </c>
      <c r="I7" s="71" t="n">
        <v>100</v>
      </c>
      <c r="J7" s="70" t="inlineStr">
        <is>
          <t>amp_bf16</t>
        </is>
      </c>
      <c r="K7" s="70" t="inlineStr">
        <is>
          <t>adam</t>
        </is>
      </c>
      <c r="L7" s="70" t="inlineStr">
        <is>
          <t>No</t>
        </is>
      </c>
      <c r="M7" s="71" t="n">
        <v>1011262440</v>
      </c>
      <c r="N7" s="50">
        <f>IF(J7="amp_bf16",2,4)</f>
        <v/>
      </c>
      <c r="O7" s="50">
        <f>H7*I7*C7</f>
        <v/>
      </c>
      <c r="P7" s="50">
        <f>H7*I7*F7*C7</f>
        <v/>
      </c>
      <c r="Q7" s="50">
        <f>9*O7*N7+2*P7*N7+2*O7+P7</f>
        <v/>
      </c>
      <c r="R7" s="50">
        <f>O7*N7+H7*I7*G7*N7+IF(J7="amp_bf16",H7*I7*G7*4,0)</f>
        <v/>
      </c>
      <c r="S7" s="50">
        <f>Q7*D7+R7</f>
        <v/>
      </c>
      <c r="T7" s="50">
        <f>(D7+3)*O7*4+7*O7*N7+3*P7*N7+O7+H7*I7*G7*N7</f>
        <v/>
      </c>
      <c r="U7" s="50">
        <f>(2*F7*C7+3*C7)*H7*I7*N7</f>
        <v/>
      </c>
      <c r="V7" s="58">
        <f>M7*4/1000000000</f>
        <v/>
      </c>
      <c r="W7" s="58">
        <f>M7*4/1000000000</f>
        <v/>
      </c>
      <c r="X7" s="58">
        <f>M7*IF(K7="adam8bit",2,8)/1000000000</f>
        <v/>
      </c>
      <c r="Y7" s="58">
        <f>IF(J7="amp_bf16",M7*2,0)/1000000000</f>
        <v/>
      </c>
      <c r="Z7" s="58">
        <f>IF(L7="Yes",T7,S7)/1000000000</f>
        <v/>
      </c>
      <c r="AA7" s="58">
        <f>V7+X7+T7/1000000000</f>
        <v/>
      </c>
      <c r="AB7" s="58">
        <f>V7+W7+X7+IF(K7="adam",W7,0)</f>
        <v/>
      </c>
      <c r="AC7" s="58">
        <f>V7+X7+Y7+D7*O7*4/1000000000+U7/1000000000+(H7*I7*G7*N7+IF(J7="amp_bf16",H7*I7*G7*4,0))/1000000000</f>
        <v/>
      </c>
      <c r="AD7" s="58">
        <f>IF(L7="Yes",MAX(AA7,AB7,AC7),V7+W7+X7+Y7+Z7)</f>
        <v/>
      </c>
      <c r="AE7" s="58">
        <f>AD7+0.6+IF(L7="Yes",5.2,1.2)</f>
        <v/>
      </c>
      <c r="AF7" s="58">
        <f>IF(AE7&gt;$C$3,"OOM","fits")</f>
        <v/>
      </c>
      <c r="AG7" s="72" t="n">
        <v>59.2206</v>
      </c>
      <c r="AH7" s="72" t="n">
        <v>60.1673</v>
      </c>
      <c r="AI7" s="73">
        <f>IF(ISNUMBER(AG7),(AD7-AG7)/AG7,"")</f>
        <v/>
      </c>
    </row>
    <row r="8" ht="15" customHeight="1" s="38">
      <c r="A8" s="70" t="inlineStr">
        <is>
          <t>batch_size</t>
        </is>
      </c>
      <c r="B8" s="70" t="inlineStr">
        <is>
          <t>1024</t>
        </is>
      </c>
      <c r="C8" s="71" t="n">
        <v>2048</v>
      </c>
      <c r="D8" s="71" t="n">
        <v>20</v>
      </c>
      <c r="E8" s="71" t="n">
        <v>16</v>
      </c>
      <c r="F8" s="71" t="n">
        <v>4</v>
      </c>
      <c r="G8" s="71" t="n">
        <v>1000</v>
      </c>
      <c r="H8" s="71" t="n">
        <v>1024</v>
      </c>
      <c r="I8" s="71" t="n">
        <v>100</v>
      </c>
      <c r="J8" s="70" t="inlineStr">
        <is>
          <t>amp_bf16</t>
        </is>
      </c>
      <c r="K8" s="70" t="inlineStr">
        <is>
          <t>adam</t>
        </is>
      </c>
      <c r="L8" s="70" t="inlineStr">
        <is>
          <t>No</t>
        </is>
      </c>
      <c r="M8" s="71" t="n">
        <v>1010728960</v>
      </c>
      <c r="N8" s="50">
        <f>IF(J8="amp_bf16",2,4)</f>
        <v/>
      </c>
      <c r="O8" s="50">
        <f>H8*I8*C8</f>
        <v/>
      </c>
      <c r="P8" s="50">
        <f>H8*I8*F8*C8</f>
        <v/>
      </c>
      <c r="Q8" s="50">
        <f>9*O8*N8+2*P8*N8+2*O8+P8</f>
        <v/>
      </c>
      <c r="R8" s="50">
        <f>O8*N8+H8*I8*G8*N8+IF(J8="amp_bf16",H8*I8*G8*4,0)</f>
        <v/>
      </c>
      <c r="S8" s="50">
        <f>Q8*D8+R8</f>
        <v/>
      </c>
      <c r="T8" s="50">
        <f>(D8+3)*O8*4+7*O8*N8+3*P8*N8+O8+H8*I8*G8*N8</f>
        <v/>
      </c>
      <c r="U8" s="50">
        <f>(2*F8*C8+3*C8)*H8*I8*N8</f>
        <v/>
      </c>
      <c r="V8" s="58">
        <f>M8*4/1000000000</f>
        <v/>
      </c>
      <c r="W8" s="58">
        <f>M8*4/1000000000</f>
        <v/>
      </c>
      <c r="X8" s="58">
        <f>M8*IF(K8="adam8bit",2,8)/1000000000</f>
        <v/>
      </c>
      <c r="Y8" s="58">
        <f>IF(J8="amp_bf16",M8*2,0)/1000000000</f>
        <v/>
      </c>
      <c r="Z8" s="58">
        <f>IF(L8="Yes",T8,S8)/1000000000</f>
        <v/>
      </c>
      <c r="AA8" s="58">
        <f>V8+X8+T8/1000000000</f>
        <v/>
      </c>
      <c r="AB8" s="58">
        <f>V8+W8+X8+IF(K8="adam",W8,0)</f>
        <v/>
      </c>
      <c r="AC8" s="58">
        <f>V8+X8+Y8+D8*O8*4/1000000000+U8/1000000000+(H8*I8*G8*N8+IF(J8="amp_bf16",H8*I8*G8*4,0))/1000000000</f>
        <v/>
      </c>
      <c r="AD8" s="58">
        <f>IF(L8="Yes",MAX(AA8,AB8,AC8),V8+W8+X8+Y8+Z8)</f>
        <v/>
      </c>
      <c r="AE8" s="58">
        <f>AD8+0.6+IF(L8="Yes",5.2,1.2)</f>
        <v/>
      </c>
      <c r="AF8" s="58">
        <f>IF(AE8&gt;$C$3,"OOM","fits")</f>
        <v/>
      </c>
      <c r="AG8" s="72" t="inlineStr">
        <is>
          <t>OOM</t>
        </is>
      </c>
      <c r="AH8" s="72" t="inlineStr">
        <is>
          <t>OOM</t>
        </is>
      </c>
      <c r="AI8" s="73">
        <f>IF(ISNUMBER(AG8),(AD8-AG8)/AG8,"")</f>
        <v/>
      </c>
    </row>
    <row r="9" ht="15" customHeight="1" s="38">
      <c r="A9" s="70" t="inlineStr">
        <is>
          <t>batch_size</t>
        </is>
      </c>
      <c r="B9" s="70" t="inlineStr">
        <is>
          <t>4096</t>
        </is>
      </c>
      <c r="C9" s="71" t="n">
        <v>2048</v>
      </c>
      <c r="D9" s="71" t="n">
        <v>20</v>
      </c>
      <c r="E9" s="71" t="n">
        <v>16</v>
      </c>
      <c r="F9" s="71" t="n">
        <v>4</v>
      </c>
      <c r="G9" s="71" t="n">
        <v>1000</v>
      </c>
      <c r="H9" s="71" t="n">
        <v>4096</v>
      </c>
      <c r="I9" s="71" t="n">
        <v>100</v>
      </c>
      <c r="J9" s="70" t="inlineStr">
        <is>
          <t>amp_bf16</t>
        </is>
      </c>
      <c r="K9" s="70" t="inlineStr">
        <is>
          <t>adam</t>
        </is>
      </c>
      <c r="L9" s="70" t="inlineStr">
        <is>
          <t>No</t>
        </is>
      </c>
      <c r="M9" s="71" t="n">
        <v>1010728960</v>
      </c>
      <c r="N9" s="50">
        <f>IF(J9="amp_bf16",2,4)</f>
        <v/>
      </c>
      <c r="O9" s="50">
        <f>H9*I9*C9</f>
        <v/>
      </c>
      <c r="P9" s="50">
        <f>H9*I9*F9*C9</f>
        <v/>
      </c>
      <c r="Q9" s="50">
        <f>9*O9*N9+2*P9*N9+2*O9+P9</f>
        <v/>
      </c>
      <c r="R9" s="50">
        <f>O9*N9+H9*I9*G9*N9+IF(J9="amp_bf16",H9*I9*G9*4,0)</f>
        <v/>
      </c>
      <c r="S9" s="50">
        <f>Q9*D9+R9</f>
        <v/>
      </c>
      <c r="T9" s="50">
        <f>(D9+3)*O9*4+7*O9*N9+3*P9*N9+O9+H9*I9*G9*N9</f>
        <v/>
      </c>
      <c r="U9" s="50">
        <f>(2*F9*C9+3*C9)*H9*I9*N9</f>
        <v/>
      </c>
      <c r="V9" s="58">
        <f>M9*4/1000000000</f>
        <v/>
      </c>
      <c r="W9" s="58">
        <f>M9*4/1000000000</f>
        <v/>
      </c>
      <c r="X9" s="58">
        <f>M9*IF(K9="adam8bit",2,8)/1000000000</f>
        <v/>
      </c>
      <c r="Y9" s="58">
        <f>IF(J9="amp_bf16",M9*2,0)/1000000000</f>
        <v/>
      </c>
      <c r="Z9" s="58">
        <f>IF(L9="Yes",T9,S9)/1000000000</f>
        <v/>
      </c>
      <c r="AA9" s="58">
        <f>V9+X9+T9/1000000000</f>
        <v/>
      </c>
      <c r="AB9" s="58">
        <f>V9+W9+X9+IF(K9="adam",W9,0)</f>
        <v/>
      </c>
      <c r="AC9" s="58">
        <f>V9+X9+Y9+D9*O9*4/1000000000+U9/1000000000+(H9*I9*G9*N9+IF(J9="amp_bf16",H9*I9*G9*4,0))/1000000000</f>
        <v/>
      </c>
      <c r="AD9" s="58">
        <f>IF(L9="Yes",MAX(AA9,AB9,AC9),V9+W9+X9+Y9+Z9)</f>
        <v/>
      </c>
      <c r="AE9" s="58">
        <f>AD9+0.6+IF(L9="Yes",5.2,1.2)</f>
        <v/>
      </c>
      <c r="AF9" s="58">
        <f>IF(AE9&gt;$C$3,"OOM","fits")</f>
        <v/>
      </c>
      <c r="AG9" s="72" t="inlineStr">
        <is>
          <t>OOM</t>
        </is>
      </c>
      <c r="AH9" s="72" t="inlineStr">
        <is>
          <t>OOM</t>
        </is>
      </c>
      <c r="AI9" s="73">
        <f>IF(ISNUMBER(AG9),(AD9-AG9)/AG9,"")</f>
        <v/>
      </c>
    </row>
    <row r="10" ht="15" customHeight="1" s="38">
      <c r="A10" s="70" t="inlineStr">
        <is>
          <t>seq_len</t>
        </is>
      </c>
      <c r="B10" s="70" t="inlineStr">
        <is>
          <t>100</t>
        </is>
      </c>
      <c r="C10" s="71" t="n">
        <v>2048</v>
      </c>
      <c r="D10" s="71" t="n">
        <v>20</v>
      </c>
      <c r="E10" s="71" t="n">
        <v>16</v>
      </c>
      <c r="F10" s="71" t="n">
        <v>4</v>
      </c>
      <c r="G10" s="71" t="n">
        <v>1000</v>
      </c>
      <c r="H10" s="71" t="n">
        <v>256</v>
      </c>
      <c r="I10" s="71" t="n">
        <v>100</v>
      </c>
      <c r="J10" s="70" t="inlineStr">
        <is>
          <t>amp_bf16</t>
        </is>
      </c>
      <c r="K10" s="70" t="inlineStr">
        <is>
          <t>adam</t>
        </is>
      </c>
      <c r="L10" s="70" t="inlineStr">
        <is>
          <t>No</t>
        </is>
      </c>
      <c r="M10" s="71" t="n">
        <v>1011262440</v>
      </c>
      <c r="N10" s="50">
        <f>IF(J10="amp_bf16",2,4)</f>
        <v/>
      </c>
      <c r="O10" s="50">
        <f>H10*I10*C10</f>
        <v/>
      </c>
      <c r="P10" s="50">
        <f>H10*I10*F10*C10</f>
        <v/>
      </c>
      <c r="Q10" s="50">
        <f>9*O10*N10+2*P10*N10+2*O10+P10</f>
        <v/>
      </c>
      <c r="R10" s="50">
        <f>O10*N10+H10*I10*G10*N10+IF(J10="amp_bf16",H10*I10*G10*4,0)</f>
        <v/>
      </c>
      <c r="S10" s="50">
        <f>Q10*D10+R10</f>
        <v/>
      </c>
      <c r="T10" s="50">
        <f>(D10+3)*O10*4+7*O10*N10+3*P10*N10+O10+H10*I10*G10*N10</f>
        <v/>
      </c>
      <c r="U10" s="50">
        <f>(2*F10*C10+3*C10)*H10*I10*N10</f>
        <v/>
      </c>
      <c r="V10" s="58">
        <f>M10*4/1000000000</f>
        <v/>
      </c>
      <c r="W10" s="58">
        <f>M10*4/1000000000</f>
        <v/>
      </c>
      <c r="X10" s="58">
        <f>M10*IF(K10="adam8bit",2,8)/1000000000</f>
        <v/>
      </c>
      <c r="Y10" s="58">
        <f>IF(J10="amp_bf16",M10*2,0)/1000000000</f>
        <v/>
      </c>
      <c r="Z10" s="58">
        <f>IF(L10="Yes",T10,S10)/1000000000</f>
        <v/>
      </c>
      <c r="AA10" s="58">
        <f>V10+X10+T10/1000000000</f>
        <v/>
      </c>
      <c r="AB10" s="58">
        <f>V10+W10+X10+IF(K10="adam",W10,0)</f>
        <v/>
      </c>
      <c r="AC10" s="58">
        <f>V10+X10+Y10+D10*O10*4/1000000000+U10/1000000000+(H10*I10*G10*N10+IF(J10="amp_bf16",H10*I10*G10*4,0))/1000000000</f>
        <v/>
      </c>
      <c r="AD10" s="58">
        <f>IF(L10="Yes",MAX(AA10,AB10,AC10),V10+W10+X10+Y10+Z10)</f>
        <v/>
      </c>
      <c r="AE10" s="58">
        <f>AD10+0.6+IF(L10="Yes",5.2,1.2)</f>
        <v/>
      </c>
      <c r="AF10" s="58">
        <f>IF(AE10&gt;$C$3,"OOM","fits")</f>
        <v/>
      </c>
      <c r="AG10" s="72" t="n">
        <v>59.2206</v>
      </c>
      <c r="AH10" s="72" t="n">
        <v>60.1673</v>
      </c>
      <c r="AI10" s="73">
        <f>IF(ISNUMBER(AG10),(AD10-AG10)/AG10,"")</f>
        <v/>
      </c>
    </row>
    <row r="11" ht="15" customHeight="1" s="38">
      <c r="A11" s="70" t="inlineStr">
        <is>
          <t>seq_len</t>
        </is>
      </c>
      <c r="B11" s="70" t="inlineStr">
        <is>
          <t>512</t>
        </is>
      </c>
      <c r="C11" s="71" t="n">
        <v>2048</v>
      </c>
      <c r="D11" s="71" t="n">
        <v>20</v>
      </c>
      <c r="E11" s="71" t="n">
        <v>16</v>
      </c>
      <c r="F11" s="71" t="n">
        <v>4</v>
      </c>
      <c r="G11" s="71" t="n">
        <v>1000</v>
      </c>
      <c r="H11" s="71" t="n">
        <v>256</v>
      </c>
      <c r="I11" s="71" t="n">
        <v>512</v>
      </c>
      <c r="J11" s="70" t="inlineStr">
        <is>
          <t>amp_bf16</t>
        </is>
      </c>
      <c r="K11" s="70" t="inlineStr">
        <is>
          <t>adam</t>
        </is>
      </c>
      <c r="L11" s="70" t="inlineStr">
        <is>
          <t>No</t>
        </is>
      </c>
      <c r="M11" s="71" t="n">
        <v>1010728960</v>
      </c>
      <c r="N11" s="50">
        <f>IF(J11="amp_bf16",2,4)</f>
        <v/>
      </c>
      <c r="O11" s="50">
        <f>H11*I11*C11</f>
        <v/>
      </c>
      <c r="P11" s="50">
        <f>H11*I11*F11*C11</f>
        <v/>
      </c>
      <c r="Q11" s="50">
        <f>9*O11*N11+2*P11*N11+2*O11+P11</f>
        <v/>
      </c>
      <c r="R11" s="50">
        <f>O11*N11+H11*I11*G11*N11+IF(J11="amp_bf16",H11*I11*G11*4,0)</f>
        <v/>
      </c>
      <c r="S11" s="50">
        <f>Q11*D11+R11</f>
        <v/>
      </c>
      <c r="T11" s="50">
        <f>(D11+3)*O11*4+7*O11*N11+3*P11*N11+O11+H11*I11*G11*N11</f>
        <v/>
      </c>
      <c r="U11" s="50">
        <f>(2*F11*C11+3*C11)*H11*I11*N11</f>
        <v/>
      </c>
      <c r="V11" s="58">
        <f>M11*4/1000000000</f>
        <v/>
      </c>
      <c r="W11" s="58">
        <f>M11*4/1000000000</f>
        <v/>
      </c>
      <c r="X11" s="58">
        <f>M11*IF(K11="adam8bit",2,8)/1000000000</f>
        <v/>
      </c>
      <c r="Y11" s="58">
        <f>IF(J11="amp_bf16",M11*2,0)/1000000000</f>
        <v/>
      </c>
      <c r="Z11" s="58">
        <f>IF(L11="Yes",T11,S11)/1000000000</f>
        <v/>
      </c>
      <c r="AA11" s="58">
        <f>V11+X11+T11/1000000000</f>
        <v/>
      </c>
      <c r="AB11" s="58">
        <f>V11+W11+X11+IF(K11="adam",W11,0)</f>
        <v/>
      </c>
      <c r="AC11" s="58">
        <f>V11+X11+Y11+D11*O11*4/1000000000+U11/1000000000+(H11*I11*G11*N11+IF(J11="amp_bf16",H11*I11*G11*4,0))/1000000000</f>
        <v/>
      </c>
      <c r="AD11" s="58">
        <f>IF(L11="Yes",MAX(AA11,AB11,AC11),V11+W11+X11+Y11+Z11)</f>
        <v/>
      </c>
      <c r="AE11" s="58">
        <f>AD11+0.6+IF(L11="Yes",5.2,1.2)</f>
        <v/>
      </c>
      <c r="AF11" s="58">
        <f>IF(AE11&gt;$C$3,"OOM","fits")</f>
        <v/>
      </c>
      <c r="AG11" s="72" t="inlineStr">
        <is>
          <t>OOM</t>
        </is>
      </c>
      <c r="AH11" s="72" t="inlineStr">
        <is>
          <t>OOM</t>
        </is>
      </c>
      <c r="AI11" s="73">
        <f>IF(ISNUMBER(AG11),(AD11-AG11)/AG11,"")</f>
        <v/>
      </c>
    </row>
    <row r="12" ht="15" customHeight="1" s="38">
      <c r="A12" s="70" t="inlineStr">
        <is>
          <t>seq_len</t>
        </is>
      </c>
      <c r="B12" s="70" t="inlineStr">
        <is>
          <t>1024</t>
        </is>
      </c>
      <c r="C12" s="71" t="n">
        <v>2048</v>
      </c>
      <c r="D12" s="71" t="n">
        <v>20</v>
      </c>
      <c r="E12" s="71" t="n">
        <v>16</v>
      </c>
      <c r="F12" s="71" t="n">
        <v>4</v>
      </c>
      <c r="G12" s="71" t="n">
        <v>1000</v>
      </c>
      <c r="H12" s="71" t="n">
        <v>256</v>
      </c>
      <c r="I12" s="71" t="n">
        <v>1024</v>
      </c>
      <c r="J12" s="70" t="inlineStr">
        <is>
          <t>amp_bf16</t>
        </is>
      </c>
      <c r="K12" s="70" t="inlineStr">
        <is>
          <t>adam</t>
        </is>
      </c>
      <c r="L12" s="70" t="inlineStr">
        <is>
          <t>No</t>
        </is>
      </c>
      <c r="M12" s="71" t="n">
        <v>1010728960</v>
      </c>
      <c r="N12" s="50">
        <f>IF(J12="amp_bf16",2,4)</f>
        <v/>
      </c>
      <c r="O12" s="50">
        <f>H12*I12*C12</f>
        <v/>
      </c>
      <c r="P12" s="50">
        <f>H12*I12*F12*C12</f>
        <v/>
      </c>
      <c r="Q12" s="50">
        <f>9*O12*N12+2*P12*N12+2*O12+P12</f>
        <v/>
      </c>
      <c r="R12" s="50">
        <f>O12*N12+H12*I12*G12*N12+IF(J12="amp_bf16",H12*I12*G12*4,0)</f>
        <v/>
      </c>
      <c r="S12" s="50">
        <f>Q12*D12+R12</f>
        <v/>
      </c>
      <c r="T12" s="50">
        <f>(D12+3)*O12*4+7*O12*N12+3*P12*N12+O12+H12*I12*G12*N12</f>
        <v/>
      </c>
      <c r="U12" s="50">
        <f>(2*F12*C12+3*C12)*H12*I12*N12</f>
        <v/>
      </c>
      <c r="V12" s="58">
        <f>M12*4/1000000000</f>
        <v/>
      </c>
      <c r="W12" s="58">
        <f>M12*4/1000000000</f>
        <v/>
      </c>
      <c r="X12" s="58">
        <f>M12*IF(K12="adam8bit",2,8)/1000000000</f>
        <v/>
      </c>
      <c r="Y12" s="58">
        <f>IF(J12="amp_bf16",M12*2,0)/1000000000</f>
        <v/>
      </c>
      <c r="Z12" s="58">
        <f>IF(L12="Yes",T12,S12)/1000000000</f>
        <v/>
      </c>
      <c r="AA12" s="58">
        <f>V12+X12+T12/1000000000</f>
        <v/>
      </c>
      <c r="AB12" s="58">
        <f>V12+W12+X12+IF(K12="adam",W12,0)</f>
        <v/>
      </c>
      <c r="AC12" s="58">
        <f>V12+X12+Y12+D12*O12*4/1000000000+U12/1000000000+(H12*I12*G12*N12+IF(J12="amp_bf16",H12*I12*G12*4,0))/1000000000</f>
        <v/>
      </c>
      <c r="AD12" s="58">
        <f>IF(L12="Yes",MAX(AA12,AB12,AC12),V12+W12+X12+Y12+Z12)</f>
        <v/>
      </c>
      <c r="AE12" s="58">
        <f>AD12+0.6+IF(L12="Yes",5.2,1.2)</f>
        <v/>
      </c>
      <c r="AF12" s="58">
        <f>IF(AE12&gt;$C$3,"OOM","fits")</f>
        <v/>
      </c>
      <c r="AG12" s="72" t="inlineStr">
        <is>
          <t>OOM</t>
        </is>
      </c>
      <c r="AH12" s="72" t="inlineStr">
        <is>
          <t>OOM</t>
        </is>
      </c>
      <c r="AI12" s="73">
        <f>IF(ISNUMBER(AG12),(AD12-AG12)/AG12,"")</f>
        <v/>
      </c>
    </row>
    <row r="13" ht="15" customHeight="1" s="38">
      <c r="A13" s="70" t="inlineStr">
        <is>
          <t>seq_len</t>
        </is>
      </c>
      <c r="B13" s="70" t="inlineStr">
        <is>
          <t>2048</t>
        </is>
      </c>
      <c r="C13" s="71" t="n">
        <v>2048</v>
      </c>
      <c r="D13" s="71" t="n">
        <v>20</v>
      </c>
      <c r="E13" s="71" t="n">
        <v>16</v>
      </c>
      <c r="F13" s="71" t="n">
        <v>4</v>
      </c>
      <c r="G13" s="71" t="n">
        <v>1000</v>
      </c>
      <c r="H13" s="71" t="n">
        <v>256</v>
      </c>
      <c r="I13" s="71" t="n">
        <v>2048</v>
      </c>
      <c r="J13" s="70" t="inlineStr">
        <is>
          <t>amp_bf16</t>
        </is>
      </c>
      <c r="K13" s="70" t="inlineStr">
        <is>
          <t>adam</t>
        </is>
      </c>
      <c r="L13" s="70" t="inlineStr">
        <is>
          <t>No</t>
        </is>
      </c>
      <c r="M13" s="71" t="n">
        <v>1010728960</v>
      </c>
      <c r="N13" s="50">
        <f>IF(J13="amp_bf16",2,4)</f>
        <v/>
      </c>
      <c r="O13" s="50">
        <f>H13*I13*C13</f>
        <v/>
      </c>
      <c r="P13" s="50">
        <f>H13*I13*F13*C13</f>
        <v/>
      </c>
      <c r="Q13" s="50">
        <f>9*O13*N13+2*P13*N13+2*O13+P13</f>
        <v/>
      </c>
      <c r="R13" s="50">
        <f>O13*N13+H13*I13*G13*N13+IF(J13="amp_bf16",H13*I13*G13*4,0)</f>
        <v/>
      </c>
      <c r="S13" s="50">
        <f>Q13*D13+R13</f>
        <v/>
      </c>
      <c r="T13" s="50">
        <f>(D13+3)*O13*4+7*O13*N13+3*P13*N13+O13+H13*I13*G13*N13</f>
        <v/>
      </c>
      <c r="U13" s="50">
        <f>(2*F13*C13+3*C13)*H13*I13*N13</f>
        <v/>
      </c>
      <c r="V13" s="58">
        <f>M13*4/1000000000</f>
        <v/>
      </c>
      <c r="W13" s="58">
        <f>M13*4/1000000000</f>
        <v/>
      </c>
      <c r="X13" s="58">
        <f>M13*IF(K13="adam8bit",2,8)/1000000000</f>
        <v/>
      </c>
      <c r="Y13" s="58">
        <f>IF(J13="amp_bf16",M13*2,0)/1000000000</f>
        <v/>
      </c>
      <c r="Z13" s="58">
        <f>IF(L13="Yes",T13,S13)/1000000000</f>
        <v/>
      </c>
      <c r="AA13" s="58">
        <f>V13+X13+T13/1000000000</f>
        <v/>
      </c>
      <c r="AB13" s="58">
        <f>V13+W13+X13+IF(K13="adam",W13,0)</f>
        <v/>
      </c>
      <c r="AC13" s="58">
        <f>V13+X13+Y13+D13*O13*4/1000000000+U13/1000000000+(H13*I13*G13*N13+IF(J13="amp_bf16",H13*I13*G13*4,0))/1000000000</f>
        <v/>
      </c>
      <c r="AD13" s="58">
        <f>IF(L13="Yes",MAX(AA13,AB13,AC13),V13+W13+X13+Y13+Z13)</f>
        <v/>
      </c>
      <c r="AE13" s="58">
        <f>AD13+0.6+IF(L13="Yes",5.2,1.2)</f>
        <v/>
      </c>
      <c r="AF13" s="58">
        <f>IF(AE13&gt;$C$3,"OOM","fits")</f>
        <v/>
      </c>
      <c r="AG13" s="72" t="inlineStr">
        <is>
          <t>OOM</t>
        </is>
      </c>
      <c r="AH13" s="72" t="inlineStr">
        <is>
          <t>OOM</t>
        </is>
      </c>
      <c r="AI13" s="73">
        <f>IF(ISNUMBER(AG13),(AD13-AG13)/AG13,"")</f>
        <v/>
      </c>
    </row>
    <row r="14" ht="15" customHeight="1" s="38">
      <c r="A14" s="70" t="inlineStr">
        <is>
          <t>optimizer</t>
        </is>
      </c>
      <c r="B14" s="70" t="inlineStr">
        <is>
          <t>adam</t>
        </is>
      </c>
      <c r="C14" s="71" t="n">
        <v>2048</v>
      </c>
      <c r="D14" s="71" t="n">
        <v>20</v>
      </c>
      <c r="E14" s="71" t="n">
        <v>16</v>
      </c>
      <c r="F14" s="71" t="n">
        <v>4</v>
      </c>
      <c r="G14" s="71" t="n">
        <v>1000</v>
      </c>
      <c r="H14" s="71" t="n">
        <v>256</v>
      </c>
      <c r="I14" s="71" t="n">
        <v>100</v>
      </c>
      <c r="J14" s="70" t="inlineStr">
        <is>
          <t>amp_bf16</t>
        </is>
      </c>
      <c r="K14" s="70" t="inlineStr">
        <is>
          <t>adam</t>
        </is>
      </c>
      <c r="L14" s="70" t="inlineStr">
        <is>
          <t>No</t>
        </is>
      </c>
      <c r="M14" s="71" t="n">
        <v>1011262440</v>
      </c>
      <c r="N14" s="50">
        <f>IF(J14="amp_bf16",2,4)</f>
        <v/>
      </c>
      <c r="O14" s="50">
        <f>H14*I14*C14</f>
        <v/>
      </c>
      <c r="P14" s="50">
        <f>H14*I14*F14*C14</f>
        <v/>
      </c>
      <c r="Q14" s="50">
        <f>9*O14*N14+2*P14*N14+2*O14+P14</f>
        <v/>
      </c>
      <c r="R14" s="50">
        <f>O14*N14+H14*I14*G14*N14+IF(J14="amp_bf16",H14*I14*G14*4,0)</f>
        <v/>
      </c>
      <c r="S14" s="50">
        <f>Q14*D14+R14</f>
        <v/>
      </c>
      <c r="T14" s="50">
        <f>(D14+3)*O14*4+7*O14*N14+3*P14*N14+O14+H14*I14*G14*N14</f>
        <v/>
      </c>
      <c r="U14" s="50">
        <f>(2*F14*C14+3*C14)*H14*I14*N14</f>
        <v/>
      </c>
      <c r="V14" s="58">
        <f>M14*4/1000000000</f>
        <v/>
      </c>
      <c r="W14" s="58">
        <f>M14*4/1000000000</f>
        <v/>
      </c>
      <c r="X14" s="58">
        <f>M14*IF(K14="adam8bit",2,8)/1000000000</f>
        <v/>
      </c>
      <c r="Y14" s="58">
        <f>IF(J14="amp_bf16",M14*2,0)/1000000000</f>
        <v/>
      </c>
      <c r="Z14" s="58">
        <f>IF(L14="Yes",T14,S14)/1000000000</f>
        <v/>
      </c>
      <c r="AA14" s="58">
        <f>V14+X14+T14/1000000000</f>
        <v/>
      </c>
      <c r="AB14" s="58">
        <f>V14+W14+X14+IF(K14="adam",W14,0)</f>
        <v/>
      </c>
      <c r="AC14" s="58">
        <f>V14+X14+Y14+D14*O14*4/1000000000+U14/1000000000+(H14*I14*G14*N14+IF(J14="amp_bf16",H14*I14*G14*4,0))/1000000000</f>
        <v/>
      </c>
      <c r="AD14" s="58">
        <f>IF(L14="Yes",MAX(AA14,AB14,AC14),V14+W14+X14+Y14+Z14)</f>
        <v/>
      </c>
      <c r="AE14" s="58">
        <f>AD14+0.6+IF(L14="Yes",5.2,1.2)</f>
        <v/>
      </c>
      <c r="AF14" s="58">
        <f>IF(AE14&gt;$C$3,"OOM","fits")</f>
        <v/>
      </c>
      <c r="AG14" s="72" t="n">
        <v>59.2206</v>
      </c>
      <c r="AH14" s="72" t="n">
        <v>60.1673</v>
      </c>
      <c r="AI14" s="73">
        <f>IF(ISNUMBER(AG14),(AD14-AG14)/AG14,"")</f>
        <v/>
      </c>
    </row>
    <row r="15" ht="15" customHeight="1" s="38">
      <c r="A15" s="70" t="inlineStr">
        <is>
          <t>optimizer</t>
        </is>
      </c>
      <c r="B15" s="70" t="inlineStr">
        <is>
          <t>adam8bit</t>
        </is>
      </c>
      <c r="C15" s="71" t="n">
        <v>2048</v>
      </c>
      <c r="D15" s="71" t="n">
        <v>20</v>
      </c>
      <c r="E15" s="71" t="n">
        <v>16</v>
      </c>
      <c r="F15" s="71" t="n">
        <v>4</v>
      </c>
      <c r="G15" s="71" t="n">
        <v>1000</v>
      </c>
      <c r="H15" s="71" t="n">
        <v>256</v>
      </c>
      <c r="I15" s="71" t="n">
        <v>100</v>
      </c>
      <c r="J15" s="70" t="inlineStr">
        <is>
          <t>amp_bf16</t>
        </is>
      </c>
      <c r="K15" s="70" t="inlineStr">
        <is>
          <t>adam8bit</t>
        </is>
      </c>
      <c r="L15" s="70" t="inlineStr">
        <is>
          <t>No</t>
        </is>
      </c>
      <c r="M15" s="71" t="n">
        <v>1011262440</v>
      </c>
      <c r="N15" s="50">
        <f>IF(J15="amp_bf16",2,4)</f>
        <v/>
      </c>
      <c r="O15" s="50">
        <f>H15*I15*C15</f>
        <v/>
      </c>
      <c r="P15" s="50">
        <f>H15*I15*F15*C15</f>
        <v/>
      </c>
      <c r="Q15" s="50">
        <f>9*O15*N15+2*P15*N15+2*O15+P15</f>
        <v/>
      </c>
      <c r="R15" s="50">
        <f>O15*N15+H15*I15*G15*N15+IF(J15="amp_bf16",H15*I15*G15*4,0)</f>
        <v/>
      </c>
      <c r="S15" s="50">
        <f>Q15*D15+R15</f>
        <v/>
      </c>
      <c r="T15" s="50">
        <f>(D15+3)*O15*4+7*O15*N15+3*P15*N15+O15+H15*I15*G15*N15</f>
        <v/>
      </c>
      <c r="U15" s="50">
        <f>(2*F15*C15+3*C15)*H15*I15*N15</f>
        <v/>
      </c>
      <c r="V15" s="58">
        <f>M15*4/1000000000</f>
        <v/>
      </c>
      <c r="W15" s="58">
        <f>M15*4/1000000000</f>
        <v/>
      </c>
      <c r="X15" s="58">
        <f>M15*IF(K15="adam8bit",2,8)/1000000000</f>
        <v/>
      </c>
      <c r="Y15" s="58">
        <f>IF(J15="amp_bf16",M15*2,0)/1000000000</f>
        <v/>
      </c>
      <c r="Z15" s="58">
        <f>IF(L15="Yes",T15,S15)/1000000000</f>
        <v/>
      </c>
      <c r="AA15" s="58">
        <f>V15+X15+T15/1000000000</f>
        <v/>
      </c>
      <c r="AB15" s="58">
        <f>V15+W15+X15+IF(K15="adam",W15,0)</f>
        <v/>
      </c>
      <c r="AC15" s="58">
        <f>V15+X15+Y15+D15*O15*4/1000000000+U15/1000000000+(H15*I15*G15*N15+IF(J15="amp_bf16",H15*I15*G15*4,0))/1000000000</f>
        <v/>
      </c>
      <c r="AD15" s="58">
        <f>IF(L15="Yes",MAX(AA15,AB15,AC15),V15+W15+X15+Y15+Z15)</f>
        <v/>
      </c>
      <c r="AE15" s="58">
        <f>AD15+0.6+IF(L15="Yes",5.2,1.2)</f>
        <v/>
      </c>
      <c r="AF15" s="58">
        <f>IF(AE15&gt;$C$3,"OOM","fits")</f>
        <v/>
      </c>
      <c r="AG15" s="72" t="n">
        <v>53.1814</v>
      </c>
      <c r="AH15" s="72" t="n">
        <v>54.2932</v>
      </c>
      <c r="AI15" s="73">
        <f>IF(ISNUMBER(AG15),(AD15-AG15)/AG15,"")</f>
        <v/>
      </c>
    </row>
    <row r="16" ht="15" customHeight="1" s="38">
      <c r="A16" s="70" t="inlineStr">
        <is>
          <t>checkpointing</t>
        </is>
      </c>
      <c r="B16" s="70" t="inlineStr">
        <is>
          <t>False</t>
        </is>
      </c>
      <c r="C16" s="71" t="n">
        <v>2048</v>
      </c>
      <c r="D16" s="71" t="n">
        <v>20</v>
      </c>
      <c r="E16" s="71" t="n">
        <v>16</v>
      </c>
      <c r="F16" s="71" t="n">
        <v>4</v>
      </c>
      <c r="G16" s="71" t="n">
        <v>1000</v>
      </c>
      <c r="H16" s="71" t="n">
        <v>256</v>
      </c>
      <c r="I16" s="71" t="n">
        <v>100</v>
      </c>
      <c r="J16" s="70" t="inlineStr">
        <is>
          <t>amp_bf16</t>
        </is>
      </c>
      <c r="K16" s="70" t="inlineStr">
        <is>
          <t>adam</t>
        </is>
      </c>
      <c r="L16" s="70" t="inlineStr">
        <is>
          <t>No</t>
        </is>
      </c>
      <c r="M16" s="71" t="n">
        <v>1011262440</v>
      </c>
      <c r="N16" s="50">
        <f>IF(J16="amp_bf16",2,4)</f>
        <v/>
      </c>
      <c r="O16" s="50">
        <f>H16*I16*C16</f>
        <v/>
      </c>
      <c r="P16" s="50">
        <f>H16*I16*F16*C16</f>
        <v/>
      </c>
      <c r="Q16" s="50">
        <f>9*O16*N16+2*P16*N16+2*O16+P16</f>
        <v/>
      </c>
      <c r="R16" s="50">
        <f>O16*N16+H16*I16*G16*N16+IF(J16="amp_bf16",H16*I16*G16*4,0)</f>
        <v/>
      </c>
      <c r="S16" s="50">
        <f>Q16*D16+R16</f>
        <v/>
      </c>
      <c r="T16" s="50">
        <f>(D16+3)*O16*4+7*O16*N16+3*P16*N16+O16+H16*I16*G16*N16</f>
        <v/>
      </c>
      <c r="U16" s="50">
        <f>(2*F16*C16+3*C16)*H16*I16*N16</f>
        <v/>
      </c>
      <c r="V16" s="58">
        <f>M16*4/1000000000</f>
        <v/>
      </c>
      <c r="W16" s="58">
        <f>M16*4/1000000000</f>
        <v/>
      </c>
      <c r="X16" s="58">
        <f>M16*IF(K16="adam8bit",2,8)/1000000000</f>
        <v/>
      </c>
      <c r="Y16" s="58">
        <f>IF(J16="amp_bf16",M16*2,0)/1000000000</f>
        <v/>
      </c>
      <c r="Z16" s="58">
        <f>IF(L16="Yes",T16,S16)/1000000000</f>
        <v/>
      </c>
      <c r="AA16" s="58">
        <f>V16+X16+T16/1000000000</f>
        <v/>
      </c>
      <c r="AB16" s="58">
        <f>V16+W16+X16+IF(K16="adam",W16,0)</f>
        <v/>
      </c>
      <c r="AC16" s="58">
        <f>V16+X16+Y16+D16*O16*4/1000000000+U16/1000000000+(H16*I16*G16*N16+IF(J16="amp_bf16",H16*I16*G16*4,0))/1000000000</f>
        <v/>
      </c>
      <c r="AD16" s="58">
        <f>IF(L16="Yes",MAX(AA16,AB16,AC16),V16+W16+X16+Y16+Z16)</f>
        <v/>
      </c>
      <c r="AE16" s="58">
        <f>AD16+0.6+IF(L16="Yes",5.2,1.2)</f>
        <v/>
      </c>
      <c r="AF16" s="58">
        <f>IF(AE16&gt;$C$3,"OOM","fits")</f>
        <v/>
      </c>
      <c r="AG16" s="72" t="n">
        <v>59.2206</v>
      </c>
      <c r="AH16" s="72" t="n">
        <v>60.1673</v>
      </c>
      <c r="AI16" s="73">
        <f>IF(ISNUMBER(AG16),(AD16-AG16)/AG16,"")</f>
        <v/>
      </c>
    </row>
    <row r="17" ht="15" customHeight="1" s="38">
      <c r="A17" s="70" t="inlineStr">
        <is>
          <t>checkpointing</t>
        </is>
      </c>
      <c r="B17" s="70" t="inlineStr">
        <is>
          <t>True</t>
        </is>
      </c>
      <c r="C17" s="71" t="n">
        <v>2048</v>
      </c>
      <c r="D17" s="71" t="n">
        <v>20</v>
      </c>
      <c r="E17" s="71" t="n">
        <v>16</v>
      </c>
      <c r="F17" s="71" t="n">
        <v>4</v>
      </c>
      <c r="G17" s="71" t="n">
        <v>1000</v>
      </c>
      <c r="H17" s="71" t="n">
        <v>256</v>
      </c>
      <c r="I17" s="71" t="n">
        <v>100</v>
      </c>
      <c r="J17" s="70" t="inlineStr">
        <is>
          <t>amp_bf16</t>
        </is>
      </c>
      <c r="K17" s="70" t="inlineStr">
        <is>
          <t>adam</t>
        </is>
      </c>
      <c r="L17" s="70" t="inlineStr">
        <is>
          <t>Yes</t>
        </is>
      </c>
      <c r="M17" s="71" t="n">
        <v>1011262440</v>
      </c>
      <c r="N17" s="50">
        <f>IF(J17="amp_bf16",2,4)</f>
        <v/>
      </c>
      <c r="O17" s="50">
        <f>H17*I17*C17</f>
        <v/>
      </c>
      <c r="P17" s="50">
        <f>H17*I17*F17*C17</f>
        <v/>
      </c>
      <c r="Q17" s="50">
        <f>9*O17*N17+2*P17*N17+2*O17+P17</f>
        <v/>
      </c>
      <c r="R17" s="50">
        <f>O17*N17+H17*I17*G17*N17+IF(J17="amp_bf16",H17*I17*G17*4,0)</f>
        <v/>
      </c>
      <c r="S17" s="50">
        <f>Q17*D17+R17</f>
        <v/>
      </c>
      <c r="T17" s="50">
        <f>(D17+3)*O17*4+7*O17*N17+3*P17*N17+O17+H17*I17*G17*N17</f>
        <v/>
      </c>
      <c r="U17" s="50">
        <f>(2*F17*C17+3*C17)*H17*I17*N17</f>
        <v/>
      </c>
      <c r="V17" s="58">
        <f>M17*4/1000000000</f>
        <v/>
      </c>
      <c r="W17" s="58">
        <f>M17*4/1000000000</f>
        <v/>
      </c>
      <c r="X17" s="58">
        <f>M17*IF(K17="adam8bit",2,8)/1000000000</f>
        <v/>
      </c>
      <c r="Y17" s="58">
        <f>IF(J17="amp_bf16",M17*2,0)/1000000000</f>
        <v/>
      </c>
      <c r="Z17" s="58">
        <f>IF(L17="Yes",T17,S17)/1000000000</f>
        <v/>
      </c>
      <c r="AA17" s="58">
        <f>V17+X17+T17/1000000000</f>
        <v/>
      </c>
      <c r="AB17" s="58">
        <f>V17+W17+X17+IF(K17="adam",W17,0)</f>
        <v/>
      </c>
      <c r="AC17" s="58">
        <f>V17+X17+Y17+D17*O17*4/1000000000+U17/1000000000+(H17*I17*G17*N17+IF(J17="amp_bf16",H17*I17*G17*4,0))/1000000000</f>
        <v/>
      </c>
      <c r="AD17" s="58">
        <f>IF(L17="Yes",MAX(AA17,AB17,AC17),V17+W17+X17+Y17+Z17)</f>
        <v/>
      </c>
      <c r="AE17" s="58">
        <f>AD17+0.6+IF(L17="Yes",5.2,1.2)</f>
        <v/>
      </c>
      <c r="AF17" s="58">
        <f>IF(AE17&gt;$C$3,"OOM","fits")</f>
        <v/>
      </c>
      <c r="AG17" s="72" t="n">
        <v>20.3462</v>
      </c>
      <c r="AH17" s="72" t="n">
        <v>26.4619</v>
      </c>
      <c r="AI17" s="73">
        <f>IF(ISNUMBER(AG17),(AD17-AG17)/AG17,"")</f>
        <v/>
      </c>
    </row>
    <row r="18" ht="15" customHeight="1" s="38">
      <c r="A18" s="70" t="inlineStr">
        <is>
          <t>checkpointing_batch</t>
        </is>
      </c>
      <c r="B18" s="70" t="inlineStr">
        <is>
          <t>256</t>
        </is>
      </c>
      <c r="C18" s="71" t="n">
        <v>2048</v>
      </c>
      <c r="D18" s="71" t="n">
        <v>20</v>
      </c>
      <c r="E18" s="71" t="n">
        <v>16</v>
      </c>
      <c r="F18" s="71" t="n">
        <v>4</v>
      </c>
      <c r="G18" s="71" t="n">
        <v>1000</v>
      </c>
      <c r="H18" s="71" t="n">
        <v>256</v>
      </c>
      <c r="I18" s="71" t="n">
        <v>100</v>
      </c>
      <c r="J18" s="70" t="inlineStr">
        <is>
          <t>amp_bf16</t>
        </is>
      </c>
      <c r="K18" s="70" t="inlineStr">
        <is>
          <t>adam</t>
        </is>
      </c>
      <c r="L18" s="70" t="inlineStr">
        <is>
          <t>Yes</t>
        </is>
      </c>
      <c r="M18" s="71" t="n">
        <v>1011262440</v>
      </c>
      <c r="N18" s="50">
        <f>IF(J18="amp_bf16",2,4)</f>
        <v/>
      </c>
      <c r="O18" s="50">
        <f>H18*I18*C18</f>
        <v/>
      </c>
      <c r="P18" s="50">
        <f>H18*I18*F18*C18</f>
        <v/>
      </c>
      <c r="Q18" s="50">
        <f>9*O18*N18+2*P18*N18+2*O18+P18</f>
        <v/>
      </c>
      <c r="R18" s="50">
        <f>O18*N18+H18*I18*G18*N18+IF(J18="amp_bf16",H18*I18*G18*4,0)</f>
        <v/>
      </c>
      <c r="S18" s="50">
        <f>Q18*D18+R18</f>
        <v/>
      </c>
      <c r="T18" s="50">
        <f>(D18+3)*O18*4+7*O18*N18+3*P18*N18+O18+H18*I18*G18*N18</f>
        <v/>
      </c>
      <c r="U18" s="50">
        <f>(2*F18*C18+3*C18)*H18*I18*N18</f>
        <v/>
      </c>
      <c r="V18" s="58">
        <f>M18*4/1000000000</f>
        <v/>
      </c>
      <c r="W18" s="58">
        <f>M18*4/1000000000</f>
        <v/>
      </c>
      <c r="X18" s="58">
        <f>M18*IF(K18="adam8bit",2,8)/1000000000</f>
        <v/>
      </c>
      <c r="Y18" s="58">
        <f>IF(J18="amp_bf16",M18*2,0)/1000000000</f>
        <v/>
      </c>
      <c r="Z18" s="58">
        <f>IF(L18="Yes",T18,S18)/1000000000</f>
        <v/>
      </c>
      <c r="AA18" s="58">
        <f>V18+X18+T18/1000000000</f>
        <v/>
      </c>
      <c r="AB18" s="58">
        <f>V18+W18+X18+IF(K18="adam",W18,0)</f>
        <v/>
      </c>
      <c r="AC18" s="58">
        <f>V18+X18+Y18+D18*O18*4/1000000000+U18/1000000000+(H18*I18*G18*N18+IF(J18="amp_bf16",H18*I18*G18*4,0))/1000000000</f>
        <v/>
      </c>
      <c r="AD18" s="58">
        <f>IF(L18="Yes",MAX(AA18,AB18,AC18),V18+W18+X18+Y18+Z18)</f>
        <v/>
      </c>
      <c r="AE18" s="58">
        <f>AD18+0.6+IF(L18="Yes",5.2,1.2)</f>
        <v/>
      </c>
      <c r="AF18" s="58">
        <f>IF(AE18&gt;$C$3,"OOM","fits")</f>
        <v/>
      </c>
      <c r="AG18" s="72" t="n">
        <v>20.3462</v>
      </c>
      <c r="AH18" s="72" t="n">
        <v>26.4619</v>
      </c>
      <c r="AI18" s="73">
        <f>IF(ISNUMBER(AG18),(AD18-AG18)/AG18,"")</f>
        <v/>
      </c>
    </row>
    <row r="19" ht="15" customHeight="1" s="38">
      <c r="A19" s="70" t="inlineStr">
        <is>
          <t>checkpointing_batch</t>
        </is>
      </c>
      <c r="B19" s="70" t="inlineStr">
        <is>
          <t>1024</t>
        </is>
      </c>
      <c r="C19" s="71" t="n">
        <v>2048</v>
      </c>
      <c r="D19" s="71" t="n">
        <v>20</v>
      </c>
      <c r="E19" s="71" t="n">
        <v>16</v>
      </c>
      <c r="F19" s="71" t="n">
        <v>4</v>
      </c>
      <c r="G19" s="71" t="n">
        <v>1000</v>
      </c>
      <c r="H19" s="71" t="n">
        <v>1024</v>
      </c>
      <c r="I19" s="71" t="n">
        <v>100</v>
      </c>
      <c r="J19" s="70" t="inlineStr">
        <is>
          <t>amp_bf16</t>
        </is>
      </c>
      <c r="K19" s="70" t="inlineStr">
        <is>
          <t>adam</t>
        </is>
      </c>
      <c r="L19" s="70" t="inlineStr">
        <is>
          <t>Yes</t>
        </is>
      </c>
      <c r="M19" s="71" t="n">
        <v>1011262440</v>
      </c>
      <c r="N19" s="50">
        <f>IF(J19="amp_bf16",2,4)</f>
        <v/>
      </c>
      <c r="O19" s="50">
        <f>H19*I19*C19</f>
        <v/>
      </c>
      <c r="P19" s="50">
        <f>H19*I19*F19*C19</f>
        <v/>
      </c>
      <c r="Q19" s="50">
        <f>9*O19*N19+2*P19*N19+2*O19+P19</f>
        <v/>
      </c>
      <c r="R19" s="50">
        <f>O19*N19+H19*I19*G19*N19+IF(J19="amp_bf16",H19*I19*G19*4,0)</f>
        <v/>
      </c>
      <c r="S19" s="50">
        <f>Q19*D19+R19</f>
        <v/>
      </c>
      <c r="T19" s="50">
        <f>(D19+3)*O19*4+7*O19*N19+3*P19*N19+O19+H19*I19*G19*N19</f>
        <v/>
      </c>
      <c r="U19" s="50">
        <f>(2*F19*C19+3*C19)*H19*I19*N19</f>
        <v/>
      </c>
      <c r="V19" s="58">
        <f>M19*4/1000000000</f>
        <v/>
      </c>
      <c r="W19" s="58">
        <f>M19*4/1000000000</f>
        <v/>
      </c>
      <c r="X19" s="58">
        <f>M19*IF(K19="adam8bit",2,8)/1000000000</f>
        <v/>
      </c>
      <c r="Y19" s="58">
        <f>IF(J19="amp_bf16",M19*2,0)/1000000000</f>
        <v/>
      </c>
      <c r="Z19" s="58">
        <f>IF(L19="Yes",T19,S19)/1000000000</f>
        <v/>
      </c>
      <c r="AA19" s="58">
        <f>V19+X19+T19/1000000000</f>
        <v/>
      </c>
      <c r="AB19" s="58">
        <f>V19+W19+X19+IF(K19="adam",W19,0)</f>
        <v/>
      </c>
      <c r="AC19" s="58">
        <f>V19+X19+Y19+D19*O19*4/1000000000+U19/1000000000+(H19*I19*G19*N19+IF(J19="amp_bf16",H19*I19*G19*4,0))/1000000000</f>
        <v/>
      </c>
      <c r="AD19" s="58">
        <f>IF(L19="Yes",MAX(AA19,AB19,AC19),V19+W19+X19+Y19+Z19)</f>
        <v/>
      </c>
      <c r="AE19" s="58">
        <f>AD19+0.6+IF(L19="Yes",5.2,1.2)</f>
        <v/>
      </c>
      <c r="AF19" s="58">
        <f>IF(AE19&gt;$C$3,"OOM","fits")</f>
        <v/>
      </c>
      <c r="AG19" s="72" t="n">
        <v>40.0338</v>
      </c>
      <c r="AH19" s="72" t="n">
        <v>44.3883</v>
      </c>
      <c r="AI19" s="73">
        <f>IF(ISNUMBER(AG19),(AD19-AG19)/AG19,"")</f>
        <v/>
      </c>
    </row>
    <row r="20" ht="15" customHeight="1" s="38">
      <c r="A20" s="70" t="inlineStr">
        <is>
          <t>checkpointing_batch</t>
        </is>
      </c>
      <c r="B20" s="70" t="inlineStr">
        <is>
          <t>4096</t>
        </is>
      </c>
      <c r="C20" s="71" t="n">
        <v>2048</v>
      </c>
      <c r="D20" s="71" t="n">
        <v>20</v>
      </c>
      <c r="E20" s="71" t="n">
        <v>16</v>
      </c>
      <c r="F20" s="71" t="n">
        <v>4</v>
      </c>
      <c r="G20" s="71" t="n">
        <v>1000</v>
      </c>
      <c r="H20" s="71" t="n">
        <v>4096</v>
      </c>
      <c r="I20" s="71" t="n">
        <v>100</v>
      </c>
      <c r="J20" s="70" t="inlineStr">
        <is>
          <t>amp_bf16</t>
        </is>
      </c>
      <c r="K20" s="70" t="inlineStr">
        <is>
          <t>adam</t>
        </is>
      </c>
      <c r="L20" s="70" t="inlineStr">
        <is>
          <t>Yes</t>
        </is>
      </c>
      <c r="M20" s="71" t="n">
        <v>1010728960</v>
      </c>
      <c r="N20" s="50">
        <f>IF(J20="amp_bf16",2,4)</f>
        <v/>
      </c>
      <c r="O20" s="50">
        <f>H20*I20*C20</f>
        <v/>
      </c>
      <c r="P20" s="50">
        <f>H20*I20*F20*C20</f>
        <v/>
      </c>
      <c r="Q20" s="50">
        <f>9*O20*N20+2*P20*N20+2*O20+P20</f>
        <v/>
      </c>
      <c r="R20" s="50">
        <f>O20*N20+H20*I20*G20*N20+IF(J20="amp_bf16",H20*I20*G20*4,0)</f>
        <v/>
      </c>
      <c r="S20" s="50">
        <f>Q20*D20+R20</f>
        <v/>
      </c>
      <c r="T20" s="50">
        <f>(D20+3)*O20*4+7*O20*N20+3*P20*N20+O20+H20*I20*G20*N20</f>
        <v/>
      </c>
      <c r="U20" s="50">
        <f>(2*F20*C20+3*C20)*H20*I20*N20</f>
        <v/>
      </c>
      <c r="V20" s="58">
        <f>M20*4/1000000000</f>
        <v/>
      </c>
      <c r="W20" s="58">
        <f>M20*4/1000000000</f>
        <v/>
      </c>
      <c r="X20" s="58">
        <f>M20*IF(K20="adam8bit",2,8)/1000000000</f>
        <v/>
      </c>
      <c r="Y20" s="58">
        <f>IF(J20="amp_bf16",M20*2,0)/1000000000</f>
        <v/>
      </c>
      <c r="Z20" s="58">
        <f>IF(L20="Yes",T20,S20)/1000000000</f>
        <v/>
      </c>
      <c r="AA20" s="58">
        <f>V20+X20+T20/1000000000</f>
        <v/>
      </c>
      <c r="AB20" s="58">
        <f>V20+W20+X20+IF(K20="adam",W20,0)</f>
        <v/>
      </c>
      <c r="AC20" s="58">
        <f>V20+X20+Y20+D20*O20*4/1000000000+U20/1000000000+(H20*I20*G20*N20+IF(J20="amp_bf16",H20*I20*G20*4,0))/1000000000</f>
        <v/>
      </c>
      <c r="AD20" s="58">
        <f>IF(L20="Yes",MAX(AA20,AB20,AC20),V20+W20+X20+Y20+Z20)</f>
        <v/>
      </c>
      <c r="AE20" s="58">
        <f>AD20+0.6+IF(L20="Yes",5.2,1.2)</f>
        <v/>
      </c>
      <c r="AF20" s="58">
        <f>IF(AE20&gt;$C$3,"OOM","fits")</f>
        <v/>
      </c>
      <c r="AG20" s="72" t="inlineStr">
        <is>
          <t>OOM</t>
        </is>
      </c>
      <c r="AH20" s="72" t="inlineStr">
        <is>
          <t>OOM</t>
        </is>
      </c>
      <c r="AI20" s="73">
        <f>IF(ISNUMBER(AG20),(AD20-AG20)/AG20,"")</f>
        <v/>
      </c>
    </row>
    <row r="21" ht="15" customHeight="1" s="38">
      <c r="A21" s="70" t="inlineStr">
        <is>
          <t>checkpointing_seq</t>
        </is>
      </c>
      <c r="B21" s="70" t="inlineStr">
        <is>
          <t>100</t>
        </is>
      </c>
      <c r="C21" s="71" t="n">
        <v>2048</v>
      </c>
      <c r="D21" s="71" t="n">
        <v>20</v>
      </c>
      <c r="E21" s="71" t="n">
        <v>16</v>
      </c>
      <c r="F21" s="71" t="n">
        <v>4</v>
      </c>
      <c r="G21" s="71" t="n">
        <v>1000</v>
      </c>
      <c r="H21" s="71" t="n">
        <v>256</v>
      </c>
      <c r="I21" s="71" t="n">
        <v>100</v>
      </c>
      <c r="J21" s="70" t="inlineStr">
        <is>
          <t>amp_bf16</t>
        </is>
      </c>
      <c r="K21" s="70" t="inlineStr">
        <is>
          <t>adam</t>
        </is>
      </c>
      <c r="L21" s="70" t="inlineStr">
        <is>
          <t>Yes</t>
        </is>
      </c>
      <c r="M21" s="71" t="n">
        <v>1011262440</v>
      </c>
      <c r="N21" s="50">
        <f>IF(J21="amp_bf16",2,4)</f>
        <v/>
      </c>
      <c r="O21" s="50">
        <f>H21*I21*C21</f>
        <v/>
      </c>
      <c r="P21" s="50">
        <f>H21*I21*F21*C21</f>
        <v/>
      </c>
      <c r="Q21" s="50">
        <f>9*O21*N21+2*P21*N21+2*O21+P21</f>
        <v/>
      </c>
      <c r="R21" s="50">
        <f>O21*N21+H21*I21*G21*N21+IF(J21="amp_bf16",H21*I21*G21*4,0)</f>
        <v/>
      </c>
      <c r="S21" s="50">
        <f>Q21*D21+R21</f>
        <v/>
      </c>
      <c r="T21" s="50">
        <f>(D21+3)*O21*4+7*O21*N21+3*P21*N21+O21+H21*I21*G21*N21</f>
        <v/>
      </c>
      <c r="U21" s="50">
        <f>(2*F21*C21+3*C21)*H21*I21*N21</f>
        <v/>
      </c>
      <c r="V21" s="58">
        <f>M21*4/1000000000</f>
        <v/>
      </c>
      <c r="W21" s="58">
        <f>M21*4/1000000000</f>
        <v/>
      </c>
      <c r="X21" s="58">
        <f>M21*IF(K21="adam8bit",2,8)/1000000000</f>
        <v/>
      </c>
      <c r="Y21" s="58">
        <f>IF(J21="amp_bf16",M21*2,0)/1000000000</f>
        <v/>
      </c>
      <c r="Z21" s="58">
        <f>IF(L21="Yes",T21,S21)/1000000000</f>
        <v/>
      </c>
      <c r="AA21" s="58">
        <f>V21+X21+T21/1000000000</f>
        <v/>
      </c>
      <c r="AB21" s="58">
        <f>V21+W21+X21+IF(K21="adam",W21,0)</f>
        <v/>
      </c>
      <c r="AC21" s="58">
        <f>V21+X21+Y21+D21*O21*4/1000000000+U21/1000000000+(H21*I21*G21*N21+IF(J21="amp_bf16",H21*I21*G21*4,0))/1000000000</f>
        <v/>
      </c>
      <c r="AD21" s="58">
        <f>IF(L21="Yes",MAX(AA21,AB21,AC21),V21+W21+X21+Y21+Z21)</f>
        <v/>
      </c>
      <c r="AE21" s="58">
        <f>AD21+0.6+IF(L21="Yes",5.2,1.2)</f>
        <v/>
      </c>
      <c r="AF21" s="58">
        <f>IF(AE21&gt;$C$3,"OOM","fits")</f>
        <v/>
      </c>
      <c r="AG21" s="72" t="n">
        <v>20.3462</v>
      </c>
      <c r="AH21" s="72" t="n">
        <v>26.4619</v>
      </c>
      <c r="AI21" s="73">
        <f>IF(ISNUMBER(AG21),(AD21-AG21)/AG21,"")</f>
        <v/>
      </c>
    </row>
    <row r="22" ht="15" customHeight="1" s="38">
      <c r="A22" s="70" t="inlineStr">
        <is>
          <t>checkpointing_seq</t>
        </is>
      </c>
      <c r="B22" s="70" t="inlineStr">
        <is>
          <t>512</t>
        </is>
      </c>
      <c r="C22" s="71" t="n">
        <v>2048</v>
      </c>
      <c r="D22" s="71" t="n">
        <v>20</v>
      </c>
      <c r="E22" s="71" t="n">
        <v>16</v>
      </c>
      <c r="F22" s="71" t="n">
        <v>4</v>
      </c>
      <c r="G22" s="71" t="n">
        <v>1000</v>
      </c>
      <c r="H22" s="71" t="n">
        <v>256</v>
      </c>
      <c r="I22" s="71" t="n">
        <v>512</v>
      </c>
      <c r="J22" s="70" t="inlineStr">
        <is>
          <t>amp_bf16</t>
        </is>
      </c>
      <c r="K22" s="70" t="inlineStr">
        <is>
          <t>adam</t>
        </is>
      </c>
      <c r="L22" s="70" t="inlineStr">
        <is>
          <t>Yes</t>
        </is>
      </c>
      <c r="M22" s="71" t="n">
        <v>1011262440</v>
      </c>
      <c r="N22" s="50">
        <f>IF(J22="amp_bf16",2,4)</f>
        <v/>
      </c>
      <c r="O22" s="50">
        <f>H22*I22*C22</f>
        <v/>
      </c>
      <c r="P22" s="50">
        <f>H22*I22*F22*C22</f>
        <v/>
      </c>
      <c r="Q22" s="50">
        <f>9*O22*N22+2*P22*N22+2*O22+P22</f>
        <v/>
      </c>
      <c r="R22" s="50">
        <f>O22*N22+H22*I22*G22*N22+IF(J22="amp_bf16",H22*I22*G22*4,0)</f>
        <v/>
      </c>
      <c r="S22" s="50">
        <f>Q22*D22+R22</f>
        <v/>
      </c>
      <c r="T22" s="50">
        <f>(D22+3)*O22*4+7*O22*N22+3*P22*N22+O22+H22*I22*G22*N22</f>
        <v/>
      </c>
      <c r="U22" s="50">
        <f>(2*F22*C22+3*C22)*H22*I22*N22</f>
        <v/>
      </c>
      <c r="V22" s="58">
        <f>M22*4/1000000000</f>
        <v/>
      </c>
      <c r="W22" s="58">
        <f>M22*4/1000000000</f>
        <v/>
      </c>
      <c r="X22" s="58">
        <f>M22*IF(K22="adam8bit",2,8)/1000000000</f>
        <v/>
      </c>
      <c r="Y22" s="58">
        <f>IF(J22="amp_bf16",M22*2,0)/1000000000</f>
        <v/>
      </c>
      <c r="Z22" s="58">
        <f>IF(L22="Yes",T22,S22)/1000000000</f>
        <v/>
      </c>
      <c r="AA22" s="58">
        <f>V22+X22+T22/1000000000</f>
        <v/>
      </c>
      <c r="AB22" s="58">
        <f>V22+W22+X22+IF(K22="adam",W22,0)</f>
        <v/>
      </c>
      <c r="AC22" s="58">
        <f>V22+X22+Y22+D22*O22*4/1000000000+U22/1000000000+(H22*I22*G22*N22+IF(J22="amp_bf16",H22*I22*G22*4,0))/1000000000</f>
        <v/>
      </c>
      <c r="AD22" s="58">
        <f>IF(L22="Yes",MAX(AA22,AB22,AC22),V22+W22+X22+Y22+Z22)</f>
        <v/>
      </c>
      <c r="AE22" s="58">
        <f>AD22+0.6+IF(L22="Yes",5.2,1.2)</f>
        <v/>
      </c>
      <c r="AF22" s="58">
        <f>IF(AE22&gt;$C$3,"OOM","fits")</f>
        <v/>
      </c>
      <c r="AG22" s="72" t="n">
        <v>47.7896</v>
      </c>
      <c r="AH22" s="72" t="n">
        <v>51.3697</v>
      </c>
      <c r="AI22" s="73">
        <f>IF(ISNUMBER(AG22),(AD22-AG22)/AG22,"")</f>
        <v/>
      </c>
    </row>
    <row r="23" ht="15" customHeight="1" s="38">
      <c r="A23" s="70" t="inlineStr">
        <is>
          <t>checkpointing_seq</t>
        </is>
      </c>
      <c r="B23" s="70" t="inlineStr">
        <is>
          <t>1024</t>
        </is>
      </c>
      <c r="C23" s="71" t="n">
        <v>2048</v>
      </c>
      <c r="D23" s="71" t="n">
        <v>20</v>
      </c>
      <c r="E23" s="71" t="n">
        <v>16</v>
      </c>
      <c r="F23" s="71" t="n">
        <v>4</v>
      </c>
      <c r="G23" s="71" t="n">
        <v>1000</v>
      </c>
      <c r="H23" s="71" t="n">
        <v>256</v>
      </c>
      <c r="I23" s="71" t="n">
        <v>1024</v>
      </c>
      <c r="J23" s="70" t="inlineStr">
        <is>
          <t>amp_bf16</t>
        </is>
      </c>
      <c r="K23" s="70" t="inlineStr">
        <is>
          <t>adam</t>
        </is>
      </c>
      <c r="L23" s="70" t="inlineStr">
        <is>
          <t>Yes</t>
        </is>
      </c>
      <c r="M23" s="71" t="n">
        <v>1010728960</v>
      </c>
      <c r="N23" s="50">
        <f>IF(J23="amp_bf16",2,4)</f>
        <v/>
      </c>
      <c r="O23" s="50">
        <f>H23*I23*C23</f>
        <v/>
      </c>
      <c r="P23" s="50">
        <f>H23*I23*F23*C23</f>
        <v/>
      </c>
      <c r="Q23" s="50">
        <f>9*O23*N23+2*P23*N23+2*O23+P23</f>
        <v/>
      </c>
      <c r="R23" s="50">
        <f>O23*N23+H23*I23*G23*N23+IF(J23="amp_bf16",H23*I23*G23*4,0)</f>
        <v/>
      </c>
      <c r="S23" s="50">
        <f>Q23*D23+R23</f>
        <v/>
      </c>
      <c r="T23" s="50">
        <f>(D23+3)*O23*4+7*O23*N23+3*P23*N23+O23+H23*I23*G23*N23</f>
        <v/>
      </c>
      <c r="U23" s="50">
        <f>(2*F23*C23+3*C23)*H23*I23*N23</f>
        <v/>
      </c>
      <c r="V23" s="58">
        <f>M23*4/1000000000</f>
        <v/>
      </c>
      <c r="W23" s="58">
        <f>M23*4/1000000000</f>
        <v/>
      </c>
      <c r="X23" s="58">
        <f>M23*IF(K23="adam8bit",2,8)/1000000000</f>
        <v/>
      </c>
      <c r="Y23" s="58">
        <f>IF(J23="amp_bf16",M23*2,0)/1000000000</f>
        <v/>
      </c>
      <c r="Z23" s="58">
        <f>IF(L23="Yes",T23,S23)/1000000000</f>
        <v/>
      </c>
      <c r="AA23" s="58">
        <f>V23+X23+T23/1000000000</f>
        <v/>
      </c>
      <c r="AB23" s="58">
        <f>V23+W23+X23+IF(K23="adam",W23,0)</f>
        <v/>
      </c>
      <c r="AC23" s="58">
        <f>V23+X23+Y23+D23*O23*4/1000000000+U23/1000000000+(H23*I23*G23*N23+IF(J23="amp_bf16",H23*I23*G23*4,0))/1000000000</f>
        <v/>
      </c>
      <c r="AD23" s="58">
        <f>IF(L23="Yes",MAX(AA23,AB23,AC23),V23+W23+X23+Y23+Z23)</f>
        <v/>
      </c>
      <c r="AE23" s="58">
        <f>AD23+0.6+IF(L23="Yes",5.2,1.2)</f>
        <v/>
      </c>
      <c r="AF23" s="58">
        <f>IF(AE23&gt;$C$3,"OOM","fits")</f>
        <v/>
      </c>
      <c r="AG23" s="72" t="inlineStr">
        <is>
          <t>OOM</t>
        </is>
      </c>
      <c r="AH23" s="72" t="inlineStr">
        <is>
          <t>OOM</t>
        </is>
      </c>
      <c r="AI23" s="73">
        <f>IF(ISNUMBER(AG23),(AD23-AG23)/AG23,"")</f>
        <v/>
      </c>
    </row>
    <row r="24" ht="15" customHeight="1" s="38">
      <c r="A24" s="70" t="inlineStr">
        <is>
          <t>checkpointing_seq</t>
        </is>
      </c>
      <c r="B24" s="70" t="inlineStr">
        <is>
          <t>2048</t>
        </is>
      </c>
      <c r="C24" s="71" t="n">
        <v>2048</v>
      </c>
      <c r="D24" s="71" t="n">
        <v>20</v>
      </c>
      <c r="E24" s="71" t="n">
        <v>16</v>
      </c>
      <c r="F24" s="71" t="n">
        <v>4</v>
      </c>
      <c r="G24" s="71" t="n">
        <v>1000</v>
      </c>
      <c r="H24" s="71" t="n">
        <v>256</v>
      </c>
      <c r="I24" s="71" t="n">
        <v>2048</v>
      </c>
      <c r="J24" s="70" t="inlineStr">
        <is>
          <t>amp_bf16</t>
        </is>
      </c>
      <c r="K24" s="70" t="inlineStr">
        <is>
          <t>adam</t>
        </is>
      </c>
      <c r="L24" s="70" t="inlineStr">
        <is>
          <t>Yes</t>
        </is>
      </c>
      <c r="M24" s="71" t="n">
        <v>1010728960</v>
      </c>
      <c r="N24" s="50">
        <f>IF(J24="amp_bf16",2,4)</f>
        <v/>
      </c>
      <c r="O24" s="50">
        <f>H24*I24*C24</f>
        <v/>
      </c>
      <c r="P24" s="50">
        <f>H24*I24*F24*C24</f>
        <v/>
      </c>
      <c r="Q24" s="50">
        <f>9*O24*N24+2*P24*N24+2*O24+P24</f>
        <v/>
      </c>
      <c r="R24" s="50">
        <f>O24*N24+H24*I24*G24*N24+IF(J24="amp_bf16",H24*I24*G24*4,0)</f>
        <v/>
      </c>
      <c r="S24" s="50">
        <f>Q24*D24+R24</f>
        <v/>
      </c>
      <c r="T24" s="50">
        <f>(D24+3)*O24*4+7*O24*N24+3*P24*N24+O24+H24*I24*G24*N24</f>
        <v/>
      </c>
      <c r="U24" s="50">
        <f>(2*F24*C24+3*C24)*H24*I24*N24</f>
        <v/>
      </c>
      <c r="V24" s="58">
        <f>M24*4/1000000000</f>
        <v/>
      </c>
      <c r="W24" s="58">
        <f>M24*4/1000000000</f>
        <v/>
      </c>
      <c r="X24" s="58">
        <f>M24*IF(K24="adam8bit",2,8)/1000000000</f>
        <v/>
      </c>
      <c r="Y24" s="58">
        <f>IF(J24="amp_bf16",M24*2,0)/1000000000</f>
        <v/>
      </c>
      <c r="Z24" s="58">
        <f>IF(L24="Yes",T24,S24)/1000000000</f>
        <v/>
      </c>
      <c r="AA24" s="58">
        <f>V24+X24+T24/1000000000</f>
        <v/>
      </c>
      <c r="AB24" s="58">
        <f>V24+W24+X24+IF(K24="adam",W24,0)</f>
        <v/>
      </c>
      <c r="AC24" s="58">
        <f>V24+X24+Y24+D24*O24*4/1000000000+U24/1000000000+(H24*I24*G24*N24+IF(J24="amp_bf16",H24*I24*G24*4,0))/1000000000</f>
        <v/>
      </c>
      <c r="AD24" s="58">
        <f>IF(L24="Yes",MAX(AA24,AB24,AC24),V24+W24+X24+Y24+Z24)</f>
        <v/>
      </c>
      <c r="AE24" s="58">
        <f>AD24+0.6+IF(L24="Yes",5.2,1.2)</f>
        <v/>
      </c>
      <c r="AF24" s="58">
        <f>IF(AE24&gt;$C$3,"OOM","fits")</f>
        <v/>
      </c>
      <c r="AG24" s="72" t="inlineStr">
        <is>
          <t>OOM</t>
        </is>
      </c>
      <c r="AH24" s="72" t="inlineStr">
        <is>
          <t>OOM</t>
        </is>
      </c>
      <c r="AI24" s="73">
        <f>IF(ISNUMBER(AG24),(AD24-AG24)/AG24,"")</f>
        <v/>
      </c>
    </row>
    <row r="25" ht="15" customHeight="1" s="38">
      <c r="A25" s="70" t="inlineStr">
        <is>
          <t>combined</t>
        </is>
      </c>
      <c r="B25" s="70" t="inlineStr">
        <is>
          <t>baseline</t>
        </is>
      </c>
      <c r="C25" s="71" t="n">
        <v>2048</v>
      </c>
      <c r="D25" s="71" t="n">
        <v>20</v>
      </c>
      <c r="E25" s="71" t="n">
        <v>16</v>
      </c>
      <c r="F25" s="71" t="n">
        <v>4</v>
      </c>
      <c r="G25" s="71" t="n">
        <v>1000</v>
      </c>
      <c r="H25" s="71" t="n">
        <v>4096</v>
      </c>
      <c r="I25" s="71" t="n">
        <v>2048</v>
      </c>
      <c r="J25" s="70" t="inlineStr">
        <is>
          <t>amp_bf16</t>
        </is>
      </c>
      <c r="K25" s="70" t="inlineStr">
        <is>
          <t>adam</t>
        </is>
      </c>
      <c r="L25" s="70" t="inlineStr">
        <is>
          <t>No</t>
        </is>
      </c>
      <c r="M25" s="71" t="n">
        <v>1010728960</v>
      </c>
      <c r="N25" s="50">
        <f>IF(J25="amp_bf16",2,4)</f>
        <v/>
      </c>
      <c r="O25" s="50">
        <f>H25*I25*C25</f>
        <v/>
      </c>
      <c r="P25" s="50">
        <f>H25*I25*F25*C25</f>
        <v/>
      </c>
      <c r="Q25" s="50">
        <f>9*O25*N25+2*P25*N25+2*O25+P25</f>
        <v/>
      </c>
      <c r="R25" s="50">
        <f>O25*N25+H25*I25*G25*N25+IF(J25="amp_bf16",H25*I25*G25*4,0)</f>
        <v/>
      </c>
      <c r="S25" s="50">
        <f>Q25*D25+R25</f>
        <v/>
      </c>
      <c r="T25" s="50">
        <f>(D25+3)*O25*4+7*O25*N25+3*P25*N25+O25+H25*I25*G25*N25</f>
        <v/>
      </c>
      <c r="U25" s="50">
        <f>(2*F25*C25+3*C25)*H25*I25*N25</f>
        <v/>
      </c>
      <c r="V25" s="58">
        <f>M25*4/1000000000</f>
        <v/>
      </c>
      <c r="W25" s="58">
        <f>M25*4/1000000000</f>
        <v/>
      </c>
      <c r="X25" s="58">
        <f>M25*IF(K25="adam8bit",2,8)/1000000000</f>
        <v/>
      </c>
      <c r="Y25" s="58">
        <f>IF(J25="amp_bf16",M25*2,0)/1000000000</f>
        <v/>
      </c>
      <c r="Z25" s="58">
        <f>IF(L25="Yes",T25,S25)/1000000000</f>
        <v/>
      </c>
      <c r="AA25" s="58">
        <f>V25+X25+T25/1000000000</f>
        <v/>
      </c>
      <c r="AB25" s="58">
        <f>V25+W25+X25+IF(K25="adam",W25,0)</f>
        <v/>
      </c>
      <c r="AC25" s="58">
        <f>V25+X25+Y25+D25*O25*4/1000000000+U25/1000000000+(H25*I25*G25*N25+IF(J25="amp_bf16",H25*I25*G25*4,0))/1000000000</f>
        <v/>
      </c>
      <c r="AD25" s="58">
        <f>IF(L25="Yes",MAX(AA25,AB25,AC25),V25+W25+X25+Y25+Z25)</f>
        <v/>
      </c>
      <c r="AE25" s="58">
        <f>AD25+0.6+IF(L25="Yes",5.2,1.2)</f>
        <v/>
      </c>
      <c r="AF25" s="58">
        <f>IF(AE25&gt;$C$3,"OOM","fits")</f>
        <v/>
      </c>
      <c r="AG25" s="72" t="inlineStr">
        <is>
          <t>OOM</t>
        </is>
      </c>
      <c r="AH25" s="72" t="inlineStr">
        <is>
          <t>OOM</t>
        </is>
      </c>
      <c r="AI25" s="73">
        <f>IF(ISNUMBER(AG25),(AD25-AG25)/AG25,"")</f>
        <v/>
      </c>
    </row>
    <row r="26" ht="15" customHeight="1" s="38">
      <c r="A26" s="70" t="inlineStr">
        <is>
          <t>combined</t>
        </is>
      </c>
      <c r="B26" s="70" t="inlineStr">
        <is>
          <t>adam8bit</t>
        </is>
      </c>
      <c r="C26" s="71" t="n">
        <v>2048</v>
      </c>
      <c r="D26" s="71" t="n">
        <v>20</v>
      </c>
      <c r="E26" s="71" t="n">
        <v>16</v>
      </c>
      <c r="F26" s="71" t="n">
        <v>4</v>
      </c>
      <c r="G26" s="71" t="n">
        <v>1000</v>
      </c>
      <c r="H26" s="71" t="n">
        <v>4096</v>
      </c>
      <c r="I26" s="71" t="n">
        <v>2048</v>
      </c>
      <c r="J26" s="70" t="inlineStr">
        <is>
          <t>amp_bf16</t>
        </is>
      </c>
      <c r="K26" s="70" t="inlineStr">
        <is>
          <t>adam8bit</t>
        </is>
      </c>
      <c r="L26" s="70" t="inlineStr">
        <is>
          <t>No</t>
        </is>
      </c>
      <c r="M26" s="71" t="n">
        <v>1010728960</v>
      </c>
      <c r="N26" s="50">
        <f>IF(J26="amp_bf16",2,4)</f>
        <v/>
      </c>
      <c r="O26" s="50">
        <f>H26*I26*C26</f>
        <v/>
      </c>
      <c r="P26" s="50">
        <f>H26*I26*F26*C26</f>
        <v/>
      </c>
      <c r="Q26" s="50">
        <f>9*O26*N26+2*P26*N26+2*O26+P26</f>
        <v/>
      </c>
      <c r="R26" s="50">
        <f>O26*N26+H26*I26*G26*N26+IF(J26="amp_bf16",H26*I26*G26*4,0)</f>
        <v/>
      </c>
      <c r="S26" s="50">
        <f>Q26*D26+R26</f>
        <v/>
      </c>
      <c r="T26" s="50">
        <f>(D26+3)*O26*4+7*O26*N26+3*P26*N26+O26+H26*I26*G26*N26</f>
        <v/>
      </c>
      <c r="U26" s="50">
        <f>(2*F26*C26+3*C26)*H26*I26*N26</f>
        <v/>
      </c>
      <c r="V26" s="58">
        <f>M26*4/1000000000</f>
        <v/>
      </c>
      <c r="W26" s="58">
        <f>M26*4/1000000000</f>
        <v/>
      </c>
      <c r="X26" s="58">
        <f>M26*IF(K26="adam8bit",2,8)/1000000000</f>
        <v/>
      </c>
      <c r="Y26" s="58">
        <f>IF(J26="amp_bf16",M26*2,0)/1000000000</f>
        <v/>
      </c>
      <c r="Z26" s="58">
        <f>IF(L26="Yes",T26,S26)/1000000000</f>
        <v/>
      </c>
      <c r="AA26" s="58">
        <f>V26+X26+T26/1000000000</f>
        <v/>
      </c>
      <c r="AB26" s="58">
        <f>V26+W26+X26+IF(K26="adam",W26,0)</f>
        <v/>
      </c>
      <c r="AC26" s="58">
        <f>V26+X26+Y26+D26*O26*4/1000000000+U26/1000000000+(H26*I26*G26*N26+IF(J26="amp_bf16",H26*I26*G26*4,0))/1000000000</f>
        <v/>
      </c>
      <c r="AD26" s="58">
        <f>IF(L26="Yes",MAX(AA26,AB26,AC26),V26+W26+X26+Y26+Z26)</f>
        <v/>
      </c>
      <c r="AE26" s="58">
        <f>AD26+0.6+IF(L26="Yes",5.2,1.2)</f>
        <v/>
      </c>
      <c r="AF26" s="58">
        <f>IF(AE26&gt;$C$3,"OOM","fits")</f>
        <v/>
      </c>
      <c r="AG26" s="72" t="inlineStr">
        <is>
          <t>OOM</t>
        </is>
      </c>
      <c r="AH26" s="72" t="inlineStr">
        <is>
          <t>OOM</t>
        </is>
      </c>
      <c r="AI26" s="73">
        <f>IF(ISNUMBER(AG26),(AD26-AG26)/AG26,"")</f>
        <v/>
      </c>
    </row>
    <row r="27" ht="15" customHeight="1" s="38">
      <c r="A27" s="70" t="inlineStr">
        <is>
          <t>combined</t>
        </is>
      </c>
      <c r="B27" s="70" t="inlineStr">
        <is>
          <t>checkpointing</t>
        </is>
      </c>
      <c r="C27" s="71" t="n">
        <v>2048</v>
      </c>
      <c r="D27" s="71" t="n">
        <v>20</v>
      </c>
      <c r="E27" s="71" t="n">
        <v>16</v>
      </c>
      <c r="F27" s="71" t="n">
        <v>4</v>
      </c>
      <c r="G27" s="71" t="n">
        <v>1000</v>
      </c>
      <c r="H27" s="71" t="n">
        <v>4096</v>
      </c>
      <c r="I27" s="71" t="n">
        <v>2048</v>
      </c>
      <c r="J27" s="70" t="inlineStr">
        <is>
          <t>amp_bf16</t>
        </is>
      </c>
      <c r="K27" s="70" t="inlineStr">
        <is>
          <t>adam</t>
        </is>
      </c>
      <c r="L27" s="70" t="inlineStr">
        <is>
          <t>Yes</t>
        </is>
      </c>
      <c r="M27" s="71" t="n">
        <v>1010728960</v>
      </c>
      <c r="N27" s="50">
        <f>IF(J27="amp_bf16",2,4)</f>
        <v/>
      </c>
      <c r="O27" s="50">
        <f>H27*I27*C27</f>
        <v/>
      </c>
      <c r="P27" s="50">
        <f>H27*I27*F27*C27</f>
        <v/>
      </c>
      <c r="Q27" s="50">
        <f>9*O27*N27+2*P27*N27+2*O27+P27</f>
        <v/>
      </c>
      <c r="R27" s="50">
        <f>O27*N27+H27*I27*G27*N27+IF(J27="amp_bf16",H27*I27*G27*4,0)</f>
        <v/>
      </c>
      <c r="S27" s="50">
        <f>Q27*D27+R27</f>
        <v/>
      </c>
      <c r="T27" s="50">
        <f>(D27+3)*O27*4+7*O27*N27+3*P27*N27+O27+H27*I27*G27*N27</f>
        <v/>
      </c>
      <c r="U27" s="50">
        <f>(2*F27*C27+3*C27)*H27*I27*N27</f>
        <v/>
      </c>
      <c r="V27" s="58">
        <f>M27*4/1000000000</f>
        <v/>
      </c>
      <c r="W27" s="58">
        <f>M27*4/1000000000</f>
        <v/>
      </c>
      <c r="X27" s="58">
        <f>M27*IF(K27="adam8bit",2,8)/1000000000</f>
        <v/>
      </c>
      <c r="Y27" s="58">
        <f>IF(J27="amp_bf16",M27*2,0)/1000000000</f>
        <v/>
      </c>
      <c r="Z27" s="58">
        <f>IF(L27="Yes",T27,S27)/1000000000</f>
        <v/>
      </c>
      <c r="AA27" s="58">
        <f>V27+X27+T27/1000000000</f>
        <v/>
      </c>
      <c r="AB27" s="58">
        <f>V27+W27+X27+IF(K27="adam",W27,0)</f>
        <v/>
      </c>
      <c r="AC27" s="58">
        <f>V27+X27+Y27+D27*O27*4/1000000000+U27/1000000000+(H27*I27*G27*N27+IF(J27="amp_bf16",H27*I27*G27*4,0))/1000000000</f>
        <v/>
      </c>
      <c r="AD27" s="58">
        <f>IF(L27="Yes",MAX(AA27,AB27,AC27),V27+W27+X27+Y27+Z27)</f>
        <v/>
      </c>
      <c r="AE27" s="58">
        <f>AD27+0.6+IF(L27="Yes",5.2,1.2)</f>
        <v/>
      </c>
      <c r="AF27" s="58">
        <f>IF(AE27&gt;$C$3,"OOM","fits")</f>
        <v/>
      </c>
      <c r="AG27" s="72" t="inlineStr">
        <is>
          <t>OOM</t>
        </is>
      </c>
      <c r="AH27" s="72" t="inlineStr">
        <is>
          <t>OOM</t>
        </is>
      </c>
      <c r="AI27" s="73">
        <f>IF(ISNUMBER(AG27),(AD27-AG27)/AG27,"")</f>
        <v/>
      </c>
    </row>
    <row r="28" ht="15" customHeight="1" s="38">
      <c r="A28" s="70" t="inlineStr">
        <is>
          <t>combined</t>
        </is>
      </c>
      <c r="B28" s="70" t="inlineStr">
        <is>
          <t>both</t>
        </is>
      </c>
      <c r="C28" s="71" t="n">
        <v>2048</v>
      </c>
      <c r="D28" s="71" t="n">
        <v>20</v>
      </c>
      <c r="E28" s="71" t="n">
        <v>16</v>
      </c>
      <c r="F28" s="71" t="n">
        <v>4</v>
      </c>
      <c r="G28" s="71" t="n">
        <v>1000</v>
      </c>
      <c r="H28" s="71" t="n">
        <v>4096</v>
      </c>
      <c r="I28" s="71" t="n">
        <v>2048</v>
      </c>
      <c r="J28" s="70" t="inlineStr">
        <is>
          <t>amp_bf16</t>
        </is>
      </c>
      <c r="K28" s="70" t="inlineStr">
        <is>
          <t>adam8bit</t>
        </is>
      </c>
      <c r="L28" s="70" t="inlineStr">
        <is>
          <t>Yes</t>
        </is>
      </c>
      <c r="M28" s="71" t="n">
        <v>1010728960</v>
      </c>
      <c r="N28" s="50">
        <f>IF(J28="amp_bf16",2,4)</f>
        <v/>
      </c>
      <c r="O28" s="50">
        <f>H28*I28*C28</f>
        <v/>
      </c>
      <c r="P28" s="50">
        <f>H28*I28*F28*C28</f>
        <v/>
      </c>
      <c r="Q28" s="50">
        <f>9*O28*N28+2*P28*N28+2*O28+P28</f>
        <v/>
      </c>
      <c r="R28" s="50">
        <f>O28*N28+H28*I28*G28*N28+IF(J28="amp_bf16",H28*I28*G28*4,0)</f>
        <v/>
      </c>
      <c r="S28" s="50">
        <f>Q28*D28+R28</f>
        <v/>
      </c>
      <c r="T28" s="50">
        <f>(D28+3)*O28*4+7*O28*N28+3*P28*N28+O28+H28*I28*G28*N28</f>
        <v/>
      </c>
      <c r="U28" s="50">
        <f>(2*F28*C28+3*C28)*H28*I28*N28</f>
        <v/>
      </c>
      <c r="V28" s="58">
        <f>M28*4/1000000000</f>
        <v/>
      </c>
      <c r="W28" s="58">
        <f>M28*4/1000000000</f>
        <v/>
      </c>
      <c r="X28" s="58">
        <f>M28*IF(K28="adam8bit",2,8)/1000000000</f>
        <v/>
      </c>
      <c r="Y28" s="58">
        <f>IF(J28="amp_bf16",M28*2,0)/1000000000</f>
        <v/>
      </c>
      <c r="Z28" s="58">
        <f>IF(L28="Yes",T28,S28)/1000000000</f>
        <v/>
      </c>
      <c r="AA28" s="58">
        <f>V28+X28+T28/1000000000</f>
        <v/>
      </c>
      <c r="AB28" s="58">
        <f>V28+W28+X28+IF(K28="adam",W28,0)</f>
        <v/>
      </c>
      <c r="AC28" s="58">
        <f>V28+X28+Y28+D28*O28*4/1000000000+U28/1000000000+(H28*I28*G28*N28+IF(J28="amp_bf16",H28*I28*G28*4,0))/1000000000</f>
        <v/>
      </c>
      <c r="AD28" s="58">
        <f>IF(L28="Yes",MAX(AA28,AB28,AC28),V28+W28+X28+Y28+Z28)</f>
        <v/>
      </c>
      <c r="AE28" s="58">
        <f>AD28+0.6+IF(L28="Yes",5.2,1.2)</f>
        <v/>
      </c>
      <c r="AF28" s="58">
        <f>IF(AE28&gt;$C$3,"OOM","fits")</f>
        <v/>
      </c>
      <c r="AG28" s="72" t="inlineStr">
        <is>
          <t>OOM</t>
        </is>
      </c>
      <c r="AH28" s="72" t="inlineStr">
        <is>
          <t>OOM</t>
        </is>
      </c>
      <c r="AI28" s="73">
        <f>IF(ISNUMBER(AG28),(AD28-AG28)/AG28,"")</f>
        <v/>
      </c>
    </row>
    <row r="29" ht="15" customHeight="1" s="38">
      <c r="A29" s="70" t="inlineStr">
        <is>
          <t>precision</t>
        </is>
      </c>
      <c r="B29" s="70" t="inlineStr">
        <is>
          <t>fp32</t>
        </is>
      </c>
      <c r="C29" s="71" t="n">
        <v>2048</v>
      </c>
      <c r="D29" s="71" t="n">
        <v>20</v>
      </c>
      <c r="E29" s="71" t="n">
        <v>16</v>
      </c>
      <c r="F29" s="71" t="n">
        <v>4</v>
      </c>
      <c r="G29" s="71" t="n">
        <v>1000</v>
      </c>
      <c r="H29" s="71" t="n">
        <v>256</v>
      </c>
      <c r="I29" s="71" t="n">
        <v>100</v>
      </c>
      <c r="J29" s="70" t="inlineStr">
        <is>
          <t>fp32</t>
        </is>
      </c>
      <c r="K29" s="70" t="inlineStr">
        <is>
          <t>adam</t>
        </is>
      </c>
      <c r="L29" s="70" t="inlineStr">
        <is>
          <t>No</t>
        </is>
      </c>
      <c r="M29" s="71" t="n">
        <v>1010728960</v>
      </c>
      <c r="N29" s="50">
        <f>IF(J29="amp_bf16",2,4)</f>
        <v/>
      </c>
      <c r="O29" s="50">
        <f>H29*I29*C29</f>
        <v/>
      </c>
      <c r="P29" s="50">
        <f>H29*I29*F29*C29</f>
        <v/>
      </c>
      <c r="Q29" s="50">
        <f>9*O29*N29+2*P29*N29+2*O29+P29</f>
        <v/>
      </c>
      <c r="R29" s="50">
        <f>O29*N29+H29*I29*G29*N29+IF(J29="amp_bf16",H29*I29*G29*4,0)</f>
        <v/>
      </c>
      <c r="S29" s="50">
        <f>Q29*D29+R29</f>
        <v/>
      </c>
      <c r="T29" s="50">
        <f>(D29+3)*O29*4+7*O29*N29+3*P29*N29+O29+H29*I29*G29*N29</f>
        <v/>
      </c>
      <c r="U29" s="50">
        <f>(2*F29*C29+3*C29)*H29*I29*N29</f>
        <v/>
      </c>
      <c r="V29" s="58">
        <f>M29*4/1000000000</f>
        <v/>
      </c>
      <c r="W29" s="58">
        <f>M29*4/1000000000</f>
        <v/>
      </c>
      <c r="X29" s="58">
        <f>M29*IF(K29="adam8bit",2,8)/1000000000</f>
        <v/>
      </c>
      <c r="Y29" s="58">
        <f>IF(J29="amp_bf16",M29*2,0)/1000000000</f>
        <v/>
      </c>
      <c r="Z29" s="58">
        <f>IF(L29="Yes",T29,S29)/1000000000</f>
        <v/>
      </c>
      <c r="AA29" s="58">
        <f>V29+X29+T29/1000000000</f>
        <v/>
      </c>
      <c r="AB29" s="58">
        <f>V29+W29+X29+IF(K29="adam",W29,0)</f>
        <v/>
      </c>
      <c r="AC29" s="58">
        <f>V29+X29+Y29+D29*O29*4/1000000000+U29/1000000000+(H29*I29*G29*N29+IF(J29="amp_bf16",H29*I29*G29*4,0))/1000000000</f>
        <v/>
      </c>
      <c r="AD29" s="58">
        <f>IF(L29="Yes",MAX(AA29,AB29,AC29),V29+W29+X29+Y29+Z29)</f>
        <v/>
      </c>
      <c r="AE29" s="58">
        <f>AD29+0.6+IF(L29="Yes",5.2,1.2)</f>
        <v/>
      </c>
      <c r="AF29" s="58">
        <f>IF(AE29&gt;$C$3,"OOM","fits")</f>
        <v/>
      </c>
      <c r="AG29" s="72" t="inlineStr">
        <is>
          <t>OOM</t>
        </is>
      </c>
      <c r="AH29" s="72" t="inlineStr">
        <is>
          <t>OOM</t>
        </is>
      </c>
      <c r="AI29" s="73">
        <f>IF(ISNUMBER(AG29),(AD29-AG29)/AG29,"")</f>
        <v/>
      </c>
    </row>
    <row r="30"/>
    <row r="31" ht="15" customHeight="1" s="38">
      <c r="A31" s="43" t="inlineStr">
        <is>
          <t>Largest absolute error across configurations that completed:</t>
        </is>
      </c>
      <c r="F31" s="74">
        <f>MAX(MAX(AI6:AI29),-MIN(AI6:AI29))</f>
        <v/>
      </c>
    </row>
    <row r="32" ht="15" customHeight="1" s="38">
      <c r="A32" s="66" t="inlineStr">
        <is>
          <t>Blue cells are inputs taken verbatim from results.csv. Black cells are calculated by this workbook. Column L 'Checkpointing' was 'True'/'False' in the source file and is written 'Yes'/'No' here to match the Sizing Tool tab. The activation formulas in columns Q and T assume memory-efficient attention (they omit the attention-matrix term that the Sizing Tool's cells B67 and B70 add when its 'Memory-efficient attention' toggle is set to No). Every one of the 24 configurations in this sweep used memory-efficient attention, so the two tabs produce identical numbers for the rows above; they would diverge on the Sizing Tool tab if that toggle were flipped.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37" min="1" max="1"/>
    <col width="116" customWidth="1" style="37" min="2" max="2"/>
  </cols>
  <sheetData>
    <row r="1" ht="16.15" customHeight="1" s="38">
      <c r="A1" s="65" t="inlineStr">
        <is>
          <t>Notes and sources</t>
        </is>
      </c>
    </row>
    <row r="2"/>
    <row r="3" ht="45.75" customHeight="1" s="38">
      <c r="A3" s="43" t="inlineStr">
        <is>
          <t>What this workbook models</t>
        </is>
      </c>
      <c r="B3" s="75" t="inlineStr">
        <is>
          <t>Peak GPU memory for training one transformer on ONE GPU. Weights, gradients, and optimizer state are stored in FP32 in this training recipe, even when compute precision is BF16 — mixed precision changes the dtype used during the matrix multiplies, not the dtype of stored parameters.</t>
        </is>
      </c>
    </row>
    <row r="4" ht="45.75" customHeight="1" s="38">
      <c r="A4" s="43" t="inlineStr">
        <is>
          <t>Where the formulas come from</t>
        </is>
      </c>
      <c r="B4" s="75" t="inlineStr">
        <is>
          <t>benchmark/predictions.py in github.com/odog96/gpu-sizing-playbook. Plain-arithmetic restatement in articles/1-training/memory-formulas.md, section 6.</t>
        </is>
      </c>
    </row>
    <row r="5" ht="45.75" customHeight="1" s="38">
      <c r="A5" s="43" t="inlineStr">
        <is>
          <t>Where the measurements come from</t>
        </is>
      </c>
      <c r="B5" s="75" t="inlineStr">
        <is>
          <t>benchmark/reference-run/results.csv — a 24-configuration training sweep on a single NVIDIA H100 80GB, varying batch size, sequence length, optimizer, compute precision, and activation checkpointing.</t>
        </is>
      </c>
    </row>
    <row r="6" ht="45.75" customHeight="1" s="38">
      <c r="A6" s="43" t="inlineStr">
        <is>
          <t>How accurate is it</t>
        </is>
      </c>
      <c r="B6" s="75" t="inlineStr">
        <is>
          <t>Against the configurations in that sweep that completed: +2.00% at the baseline (batch 256, sequence 100, hidden 2,048, 20 layers, BF16 mixed precision, standard Adam), +2.17% with 8-bit Adam, and -0.48% to -0.59% on the three that used activation checkpointing. Every configuration that ran out of memory was predicted to.</t>
        </is>
      </c>
    </row>
    <row r="7" ht="45.75" customHeight="1" s="38">
      <c r="A7" s="43" t="inlineStr">
        <is>
          <t>HIGH confidence — measured</t>
        </is>
      </c>
      <c r="B7" s="75" t="inlineStr">
        <is>
          <t>Weights, gradients, and optimizer state: summed directly from real tensors on the device. The 8-bit Adam saving was measured at 6.04 GB against 6.07 GB calculated. The BF16 weight cache was isolated at 1.98 GB measured against 2.02 GB calculated.</t>
        </is>
      </c>
    </row>
    <row r="8" ht="45.75" customHeight="1" s="38">
      <c r="A8" s="43" t="inlineStr">
        <is>
          <t>HIGH confidence — calculated and validated</t>
        </is>
      </c>
      <c r="B8" s="75" t="inlineStr">
        <is>
          <t>The activation formula, both with and without activation checkpointing. The checkpointed version was rebuilt on 2026-07-31 from a CUDA allocator-history replay that identified every live memory block at the peak moment.</t>
        </is>
      </c>
    </row>
    <row r="9" ht="45.75" customHeight="1" s="38">
      <c r="A9" s="43" t="inlineStr">
        <is>
          <t>SPECULATIVE — the dropout-mask term</t>
        </is>
      </c>
      <c r="B9" s="75" t="inlineStr">
        <is>
          <t>The per-layer activation formula assumes three dropout masks are materialised as 1-byte tensors. Some fused CUDA dropout kernels save only the random-number generator state instead, which would make this term zero. It is a small fraction of the total either way.</t>
        </is>
      </c>
    </row>
    <row r="10" ht="45.75" customHeight="1" s="38">
      <c r="A10" s="43" t="inlineStr">
        <is>
          <t>NOT VALIDATED — memory-efficient attention set to No</t>
        </is>
      </c>
      <c r="B10" s="75" t="inlineStr">
        <is>
          <t>The benchmark only ever ran memory-efficient attention. The attention-probability-matrix term this workbook adds when you answer No is calculated from first principles and has never been measured here.</t>
        </is>
      </c>
    </row>
    <row r="11" ht="45.75" customHeight="1" s="38">
      <c r="A11" s="43" t="inlineStr">
        <is>
          <t>NOT VALIDATED — configurations far from the benchmarked shape</t>
        </is>
      </c>
      <c r="B11" s="75" t="inlineStr">
        <is>
          <t>Very large batch sizes, very long sequence lengths, and model sizes well away from 1 billion parameters are formula extrapolations. The formula has no fitted constants, which is a good sign, but it has not been measured at those points.</t>
        </is>
      </c>
    </row>
    <row r="12" ht="45.75" customHeight="1" s="38">
      <c r="A12" s="43" t="inlineStr">
        <is>
          <t>ESTIMATED — CUDA context and fragmentation</t>
        </is>
      </c>
      <c r="B12" s="75" t="inlineStr">
        <is>
          <t>These two allowances translate 'allocated' into 'will this actually fit on a card'. PyTorch's memory API cannot see CUDA context overhead at all. The fragmentation allowances come from the gap between reserved and allocated memory in the sweep: 0.95-1.11 GB without activation checkpointing across two configurations, and 3.58-6.12 GB with it across three. Both are editable on the Sizing Tool tab.</t>
        </is>
      </c>
    </row>
    <row r="13" ht="45.75" customHeight="1" s="38">
      <c r="A13" s="43" t="inlineStr">
        <is>
          <t>NOT MODELLED — data pipeline memory</t>
        </is>
      </c>
      <c r="B13" s="75" t="inlineStr">
        <is>
          <t>These line items account for the model only. GPU-resident data pipelines, RAPIDS and cuDF in particular, can hold significant VRAM outside the model, and for smaller models the pipeline can be the larger consumer. Budget for it separately.</t>
        </is>
      </c>
    </row>
    <row r="14" ht="45.75" customHeight="1" s="38">
      <c r="A14" s="43" t="inlineStr">
        <is>
          <t>NOT MODELLED — weight quantisation</t>
        </is>
      </c>
      <c r="B14" s="75" t="inlineStr">
        <is>
          <t>This workbook covers optimizer-state quantisation, standard Adam against 8-bit Adam. It does not cover storing weights themselves in INT8 or 4-bit, which the benchmark never ran.</t>
        </is>
      </c>
    </row>
    <row r="15" ht="45.75" customHeight="1" s="38">
      <c r="A15" s="43" t="inlineStr">
        <is>
          <t>NOT MODELLED — ragged batches</t>
        </is>
      </c>
      <c r="B15" s="75" t="inlineStr">
        <is>
          <t>These numbers assume every example is the same shape. With variable-length examples, peak memory follows the longest sequence in the batch, not the average.</t>
        </is>
      </c>
    </row>
    <row r="16" ht="45.75" customHeight="1" s="38">
      <c r="A16" s="43" t="inlineStr">
        <is>
          <t>NOT MODELLED — multiple GPUs</t>
        </is>
      </c>
      <c r="B16" s="75" t="inlineStr">
        <is>
          <t>Single GPU only. Data parallelism, ZeRO sharding, and tensor parallelism are covered elsewhere in the series.</t>
        </is>
      </c>
    </row>
    <row r="17" ht="45.75" customHeight="1" s="38">
      <c r="A17" s="43" t="inlineStr">
        <is>
          <t>Units</t>
        </is>
      </c>
      <c r="B17" s="75" t="inlineStr">
        <is>
          <t>1 GB = 1,000,000,000 bytes throughout, matching benchmark/predictions.py. Card capacities are advertised in GiB (1,073,741,824 bytes), which is why an '80 GB' card shows about 85 GB of usable capacity 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2026-07-31T22:32:47Z</dcterms:created>
  <dcterms:modified xsi:type="dcterms:W3CDTF">2026-08-01T00:17:34Z</dcterms:modified>
  <cp:revision>0</cp:revision>
</cp:coreProperties>
</file>