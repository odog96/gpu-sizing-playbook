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izing Tool" sheetId="1" state="visible" r:id="rId1"/>
    <sheet name="Model Presets" sheetId="2" state="visible" r:id="rId2"/>
    <sheet name="GPU Capacity" sheetId="3" state="visible" r:id="rId3"/>
    <sheet name="Validation" sheetId="4" state="visible" r:id="rId4"/>
    <sheet name="Notes &amp; Sources" sheetId="5" state="visible" r:id="rId5"/>
  </sheets>
  <definedNames>
    <definedName name="Activations_Ckpt_Off_Bytes" hidden="0" function="0" vbProcedure="0">'Sizing Tool'!$B$85</definedName>
    <definedName name="Activations_Ckpt_On_Bytes" hidden="0" function="0" vbProcedure="0">'Sizing Tool'!$B$86</definedName>
    <definedName name="Activations_GB" hidden="0" function="0" vbProcedure="0">'Sizing Tool'!$B$44</definedName>
    <definedName name="Activation_Bytes_Per_Element" hidden="0" function="0" vbProcedure="0">'Sizing Tool'!$B$74</definedName>
    <definedName name="Activation_Checkpointing" hidden="0" function="0" vbProcedure="0">'Sizing Tool'!$B$29</definedName>
    <definedName name="Adapter_Gradients_GB" hidden="0" function="0" vbProcedure="0">'Sizing Tool'!$B$41</definedName>
    <definedName name="Adapter_Layers" hidden="0" function="0" vbProcedure="0">'Sizing Tool'!$B$64</definedName>
    <definedName name="Adapter_Optimizer_State_GB" hidden="0" function="0" vbProcedure="0">'Sizing Tool'!$B$42</definedName>
    <definedName name="Adapter_Parameter_Count" hidden="0" function="0" vbProcedure="0">'Sizing Tool'!$B$67</definedName>
    <definedName name="Adapter_Params_Per_Target" hidden="0" function="0" vbProcedure="0">'Sizing Tool'!$B$66</definedName>
    <definedName name="Adapter_Placement" hidden="0" function="0" vbProcedure="0">'Sizing Tool'!$B$27</definedName>
    <definedName name="Adapter_Targets" hidden="0" function="0" vbProcedure="0">'Sizing Tool'!$B$26</definedName>
    <definedName name="Adapter_Weights_GB" hidden="0" function="0" vbProcedure="0">'Sizing Tool'!$B$40</definedName>
    <definedName name="Allocator_Overhead_GB" hidden="0" function="0" vbProcedure="0">'Sizing Tool'!$B$47</definedName>
    <definedName name="Attention_Heads" hidden="0" function="0" vbProcedure="0">'Sizing Tool'!$E$56</definedName>
    <definedName name="Autocast_Weight_Cache_GB" hidden="0" function="0" vbProcedure="0">'Sizing Tool'!$B$43</definedName>
    <definedName name="Base_Model" hidden="0" function="0" vbProcedure="0">'Sizing Tool'!$B$14</definedName>
    <definedName name="Base_Parameter_Count" hidden="0" function="0" vbProcedure="0">'Sizing Tool'!$E$60</definedName>
    <definedName name="Base_Parameter_Count_Shown" hidden="0" function="0" vbProcedure="0">'Sizing Tool'!$B$16</definedName>
    <definedName name="Base_Storage_Bytes_Per_Param" hidden="0" function="0" vbProcedure="0">'Sizing Tool'!$B$76</definedName>
    <definedName name="Base_Storage_Precision" hidden="0" function="0" vbProcedure="0">'Sizing Tool'!$B$17</definedName>
    <definedName name="Batch_Size" hidden="0" function="0" vbProcedure="0">'Sizing Tool'!$B$20</definedName>
    <definedName name="Capacity_Used_GB" hidden="0" function="0" vbProcedure="0">'Sizing Tool'!$B$35</definedName>
    <definedName name="Compute_Precision" hidden="0" function="0" vbProcedure="0">'Sizing Tool'!$B$22</definedName>
    <definedName name="cuBLAS_Workspace_Bytes" hidden="0" function="0" vbProcedure="0">'Sizing Tool'!$B$88</definedName>
    <definedName name="cuBLAS_Workspace_Count" hidden="0" function="0" vbProcedure="0">'Sizing Tool'!$B$87</definedName>
    <definedName name="CUDA_Context_GB" hidden="0" function="0" vbProcedure="0">'Sizing Tool'!$B$69</definedName>
    <definedName name="FF_Intermediate_Size" hidden="0" function="0" vbProcedure="0">'Sizing Tool'!$E$58</definedName>
    <definedName name="Fragmentation_Ckpt_Off_GB" hidden="0" function="0" vbProcedure="0">'Sizing Tool'!$B$70</definedName>
    <definedName name="Fragmentation_Ckpt_On_GB" hidden="0" function="0" vbProcedure="0">'Sizing Tool'!$B$71</definedName>
    <definedName name="Frozen_Base_Weights_GB" hidden="0" function="0" vbProcedure="0">'Sizing Tool'!$B$39</definedName>
    <definedName name="GPU_Capacity_Override_GB" hidden="0" function="0" vbProcedure="0">'Sizing Tool'!$B$34</definedName>
    <definedName name="GPU_Choice" hidden="0" function="0" vbProcedure="0">'Sizing Tool'!$B$32</definedName>
    <definedName name="GPU_Usable_Capacity_GB" hidden="0" function="0" vbProcedure="0">'Sizing Tool'!$B$33</definedName>
    <definedName name="Headroom_GB" hidden="0" function="0" vbProcedure="0">'Sizing Tool'!$B$8</definedName>
    <definedName name="Hidden_Dimension" hidden="0" function="0" vbProcedure="0">'Sizing Tool'!$E$54</definedName>
    <definedName name="KV_Heads" hidden="0" function="0" vbProcedure="0">'Sizing Tool'!$E$57</definedName>
    <definedName name="Layers" hidden="0" function="0" vbProcedure="0">'Sizing Tool'!$E$55</definedName>
    <definedName name="LoRA_Rank" hidden="0" function="0" vbProcedure="0">'Sizing Tool'!$B$25</definedName>
    <definedName name="MatMul_Workspace_GB" hidden="0" function="0" vbProcedure="0">'Sizing Tool'!$B$45</definedName>
    <definedName name="Once_Per_Model_Activation_Bytes" hidden="0" function="0" vbProcedure="0">'Sizing Tool'!$B$84</definedName>
    <definedName name="Optimizer_Bytes_Per_Adapter_Param" hidden="0" function="0" vbProcedure="0">'Sizing Tool'!$B$75</definedName>
    <definedName name="Optimizer_Choice" hidden="0" function="0" vbProcedure="0">'Sizing Tool'!$B$28</definedName>
    <definedName name="Output_Vocabulary" hidden="0" function="0" vbProcedure="0">'Sizing Tool'!$E$59</definedName>
    <definedName name="Peak_Allocated_GB" hidden="0" function="0" vbProcedure="0">'Sizing Tool'!$B$46</definedName>
    <definedName name="Per_Layer_Activation_Bytes" hidden="0" function="0" vbProcedure="0">'Sizing Tool'!$B$83</definedName>
    <definedName name="Phase_Peak_Backward_GB" hidden="0" function="0" vbProcedure="0">'Sizing Tool'!$B$89</definedName>
    <definedName name="Phase_Peak_Forward_GB" hidden="0" function="0" vbProcedure="0">'Sizing Tool'!$B$91</definedName>
    <definedName name="Phase_Peak_Optimizer_Step_GB" hidden="0" function="0" vbProcedure="0">'Sizing Tool'!$B$90</definedName>
    <definedName name="Segment_Forward_Transient_Bytes" hidden="0" function="0" vbProcedure="0">'Sizing Tool'!$B$93</definedName>
    <definedName name="Sequence_Length" hidden="0" function="0" vbProcedure="0">'Sizing Tool'!$B$21</definedName>
    <definedName name="Targets_Per_Layer" hidden="0" function="0" vbProcedure="0">'Sizing Tool'!$B$65</definedName>
    <definedName name="Tensor_Batch_Seq_FFIntermediate_Bytes" hidden="0" function="0" vbProcedure="0">'Sizing Tool'!$B$82</definedName>
    <definedName name="Tensor_Batch_Seq_Hidden_Bytes" hidden="0" function="0" vbProcedure="0">'Sizing Tool'!$B$80</definedName>
    <definedName name="Tensor_Batch_Seq_KV_Bytes" hidden="0" function="0" vbProcedure="0">'Sizing Tool'!$B$81</definedName>
    <definedName name="Total_GPU_Memory_Needed_GB" hidden="0" function="0" vbProcedure="0">'Sizing Tool'!$B$5</definedName>
    <definedName name="Total_Reserved_GB" hidden="0" function="0" vbProcedure="0">'Sizing Tool'!$B$48</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0"/>
    <numFmt numFmtId="166"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5"/>
    </font>
    <font>
      <name val="Arial"/>
      <charset val="1"/>
      <family val="0"/>
      <sz val="10"/>
    </font>
    <font>
      <name val="Arial"/>
      <charset val="1"/>
      <family val="0"/>
      <i val="1"/>
      <color rgb="FF595959"/>
      <sz val="10"/>
    </font>
    <font>
      <name val="Arial"/>
      <charset val="1"/>
      <family val="0"/>
      <b val="1"/>
      <color rgb="FFFFFFFF"/>
      <sz val="11"/>
    </font>
    <font>
      <name val="Arial"/>
      <charset val="1"/>
      <family val="0"/>
      <b val="1"/>
      <sz val="12"/>
    </font>
    <font>
      <name val="Arial"/>
      <charset val="1"/>
      <family val="0"/>
      <i val="1"/>
      <color rgb="FF595959"/>
      <sz val="8"/>
    </font>
    <font>
      <name val="Arial"/>
      <charset val="1"/>
      <family val="0"/>
      <b val="1"/>
      <sz val="14"/>
    </font>
    <font>
      <name val="Arial"/>
      <charset val="1"/>
      <family val="0"/>
      <i val="1"/>
      <color rgb="FF595959"/>
      <sz val="9"/>
    </font>
    <font>
      <name val="Arial"/>
      <charset val="1"/>
      <family val="0"/>
      <color rgb="FF0000FF"/>
      <sz val="10"/>
    </font>
    <font>
      <name val="Arial"/>
      <charset val="1"/>
      <family val="0"/>
      <color rgb="FF008000"/>
      <sz val="10"/>
    </font>
    <font>
      <name val="Arial"/>
      <charset val="1"/>
      <family val="0"/>
      <b val="1"/>
      <sz val="10"/>
    </font>
    <font>
      <name val="Arial"/>
      <charset val="1"/>
      <family val="0"/>
      <b val="1"/>
      <color rgb="FF1F3864"/>
      <sz val="10"/>
    </font>
    <font>
      <name val="Arial"/>
      <charset val="1"/>
      <family val="0"/>
      <b val="1"/>
      <sz val="13"/>
    </font>
  </fonts>
  <fills count="6">
    <fill>
      <patternFill/>
    </fill>
    <fill>
      <patternFill patternType="gray125"/>
    </fill>
    <fill>
      <patternFill patternType="solid">
        <fgColor rgb="FF1F3864"/>
        <bgColor rgb="FF333333"/>
      </patternFill>
    </fill>
    <fill>
      <patternFill patternType="solid">
        <fgColor rgb="FFE2EFDA"/>
        <bgColor rgb="FFD9E2F3"/>
      </patternFill>
    </fill>
    <fill>
      <patternFill patternType="solid">
        <fgColor rgb="FFFFFF99"/>
        <bgColor rgb="FFE2EFDA"/>
      </patternFill>
    </fill>
    <fill>
      <patternFill patternType="solid">
        <fgColor rgb="FFD9E2F3"/>
        <bgColor rgb="FFE2EFDA"/>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general" vertical="center"/>
    </xf>
    <xf numFmtId="0" fontId="8" fillId="0" borderId="0" applyAlignment="1" pivotButton="0" quotePrefix="0" xfId="0">
      <alignment horizontal="general" vertical="center"/>
    </xf>
    <xf numFmtId="4" fontId="8" fillId="3" borderId="0" applyAlignment="1" pivotButton="0" quotePrefix="0" xfId="0">
      <alignment horizontal="general" vertical="center"/>
    </xf>
    <xf numFmtId="0" fontId="9" fillId="0" borderId="0" applyAlignment="1" pivotButton="0" quotePrefix="0" xfId="0">
      <alignment horizontal="general" vertical="center"/>
    </xf>
    <xf numFmtId="4" fontId="5" fillId="3" borderId="0" applyAlignment="1" pivotButton="0" quotePrefix="0" xfId="0">
      <alignment horizontal="general" vertical="center"/>
    </xf>
    <xf numFmtId="0" fontId="10" fillId="0" borderId="0" applyAlignment="1" pivotButton="0" quotePrefix="0" xfId="0">
      <alignment horizontal="general" vertical="center"/>
    </xf>
    <xf numFmtId="0" fontId="10" fillId="3" borderId="0" applyAlignment="1" pivotButton="0" quotePrefix="0" xfId="0">
      <alignment horizontal="general" vertical="center"/>
    </xf>
    <xf numFmtId="164" fontId="5" fillId="3" borderId="0" applyAlignment="1" pivotButton="0" quotePrefix="0" xfId="0">
      <alignment horizontal="general" vertical="center"/>
    </xf>
    <xf numFmtId="0" fontId="11" fillId="0" borderId="0" applyAlignment="1" pivotButton="0" quotePrefix="0" xfId="0">
      <alignment horizontal="general" vertical="center"/>
    </xf>
    <xf numFmtId="0" fontId="12" fillId="4" borderId="0" applyAlignment="1" pivotButton="0" quotePrefix="0" xfId="0">
      <alignment horizontal="general" vertical="center"/>
    </xf>
    <xf numFmtId="3" fontId="5" fillId="0" borderId="0" applyAlignment="1" pivotButton="0" quotePrefix="0" xfId="0">
      <alignment horizontal="general" vertical="center"/>
    </xf>
    <xf numFmtId="4" fontId="13" fillId="0" borderId="0" applyAlignment="1" pivotButton="0" quotePrefix="0" xfId="0">
      <alignment horizontal="general" vertical="center"/>
    </xf>
    <xf numFmtId="4" fontId="12" fillId="4" borderId="0" applyAlignment="1" pivotButton="0" quotePrefix="0" xfId="0">
      <alignment horizontal="general" vertical="center"/>
    </xf>
    <xf numFmtId="4" fontId="5" fillId="0" borderId="0" applyAlignment="1" pivotButton="0" quotePrefix="0" xfId="0">
      <alignment horizontal="general" vertical="center"/>
    </xf>
    <xf numFmtId="0" fontId="14" fillId="5" borderId="0" applyAlignment="1" pivotButton="0" quotePrefix="0" xfId="0">
      <alignment horizontal="general" vertical="center"/>
    </xf>
    <xf numFmtId="165" fontId="5" fillId="3" borderId="0" applyAlignment="1" pivotButton="0" quotePrefix="0" xfId="0">
      <alignment horizontal="general" vertical="center"/>
    </xf>
    <xf numFmtId="0" fontId="9" fillId="0" borderId="0" applyAlignment="1" pivotButton="0" quotePrefix="0" xfId="0">
      <alignment horizontal="general" vertical="center" wrapText="1"/>
    </xf>
    <xf numFmtId="0" fontId="14" fillId="0" borderId="0" applyAlignment="1" pivotButton="0" quotePrefix="0" xfId="0">
      <alignment horizontal="general" vertical="center"/>
    </xf>
    <xf numFmtId="165" fontId="14" fillId="3" borderId="0" applyAlignment="1" pivotButton="0" quotePrefix="0" xfId="0">
      <alignment horizontal="general" vertical="center"/>
    </xf>
    <xf numFmtId="0" fontId="5" fillId="0" borderId="0" applyAlignment="1" pivotButton="0" quotePrefix="0" xfId="0">
      <alignment horizontal="general" vertical="center" wrapText="1"/>
    </xf>
    <xf numFmtId="0" fontId="15" fillId="5" borderId="0" applyAlignment="1" pivotButton="0" quotePrefix="0" xfId="0">
      <alignment horizontal="general" vertical="center"/>
    </xf>
    <xf numFmtId="3" fontId="13" fillId="0" borderId="0" applyAlignment="1" pivotButton="0" quotePrefix="0" xfId="0">
      <alignment horizontal="general" vertical="center"/>
    </xf>
    <xf numFmtId="3" fontId="12" fillId="4" borderId="0" applyAlignment="1" pivotButton="0" quotePrefix="0" xfId="0">
      <alignment horizontal="general" vertical="center"/>
    </xf>
    <xf numFmtId="3" fontId="14" fillId="0" borderId="0" applyAlignment="1" pivotButton="0" quotePrefix="0" xfId="0">
      <alignment horizontal="general" vertical="center"/>
    </xf>
    <xf numFmtId="166" fontId="5" fillId="0" borderId="0" applyAlignment="1" pivotButton="0" quotePrefix="0" xfId="0">
      <alignment horizontal="general" vertical="center"/>
    </xf>
    <xf numFmtId="165" fontId="5" fillId="0" borderId="0" applyAlignment="1" pivotButton="0" quotePrefix="0" xfId="0">
      <alignment horizontal="general" vertical="center"/>
    </xf>
    <xf numFmtId="0" fontId="16" fillId="0" borderId="0" applyAlignment="1" pivotButton="0" quotePrefix="0" xfId="0">
      <alignment horizontal="general" vertical="center"/>
    </xf>
    <xf numFmtId="0" fontId="14" fillId="5" borderId="0" applyAlignment="1" pivotButton="0" quotePrefix="0" xfId="0">
      <alignment horizontal="general" vertical="center" wrapText="1"/>
    </xf>
    <xf numFmtId="0" fontId="15" fillId="5" borderId="0" applyAlignment="1" pivotButton="0" quotePrefix="0" xfId="0">
      <alignment horizontal="general" vertical="bottom"/>
    </xf>
    <xf numFmtId="0" fontId="0" fillId="5" borderId="0" applyAlignment="1" pivotButton="0" quotePrefix="0" xfId="0">
      <alignment horizontal="general" vertical="bottom"/>
    </xf>
    <xf numFmtId="0" fontId="14" fillId="5" borderId="0" applyAlignment="1" pivotButton="0" quotePrefix="0" xfId="0">
      <alignment horizontal="center" vertical="center" wrapText="1"/>
    </xf>
    <xf numFmtId="0" fontId="12" fillId="0" borderId="0" applyAlignment="1" pivotButton="0" quotePrefix="0" xfId="0">
      <alignment horizontal="general" vertical="center"/>
    </xf>
    <xf numFmtId="3" fontId="12" fillId="0" borderId="0" applyAlignment="1" pivotButton="0" quotePrefix="0" xfId="0">
      <alignment horizontal="general" vertical="center"/>
    </xf>
    <xf numFmtId="165" fontId="12" fillId="0" borderId="0" applyAlignment="1" pivotButton="0" quotePrefix="0" xfId="0">
      <alignment horizontal="general" vertical="center"/>
    </xf>
    <xf numFmtId="0" fontId="5"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2" borderId="0" applyAlignment="1" pivotButton="0" quotePrefix="0" xfId="0">
      <alignment horizontal="general" vertical="center"/>
    </xf>
    <xf numFmtId="0" fontId="8" fillId="0" borderId="0" applyAlignment="1" pivotButton="0" quotePrefix="0" xfId="0">
      <alignment horizontal="general" vertical="center"/>
    </xf>
    <xf numFmtId="4" fontId="8" fillId="3" borderId="0" applyAlignment="1" pivotButton="0" quotePrefix="0" xfId="0">
      <alignment horizontal="general" vertical="center"/>
    </xf>
    <xf numFmtId="0" fontId="9" fillId="0" borderId="0" applyAlignment="1" pivotButton="0" quotePrefix="0" xfId="0">
      <alignment horizontal="general" vertical="center"/>
    </xf>
    <xf numFmtId="4" fontId="5" fillId="3" borderId="0" applyAlignment="1" pivotButton="0" quotePrefix="0" xfId="0">
      <alignment horizontal="general" vertical="center"/>
    </xf>
    <xf numFmtId="0" fontId="10" fillId="0" borderId="0" applyAlignment="1" pivotButton="0" quotePrefix="0" xfId="0">
      <alignment horizontal="general" vertical="center"/>
    </xf>
    <xf numFmtId="0" fontId="10" fillId="3" borderId="0" applyAlignment="1" pivotButton="0" quotePrefix="0" xfId="0">
      <alignment horizontal="general" vertical="center"/>
    </xf>
    <xf numFmtId="164" fontId="5" fillId="3" borderId="0" applyAlignment="1" pivotButton="0" quotePrefix="0" xfId="0">
      <alignment horizontal="general" vertical="center"/>
    </xf>
    <xf numFmtId="0" fontId="11" fillId="0" borderId="0" applyAlignment="1" pivotButton="0" quotePrefix="0" xfId="0">
      <alignment horizontal="general" vertical="center"/>
    </xf>
    <xf numFmtId="0" fontId="12" fillId="4" borderId="0" applyAlignment="1" pivotButton="0" quotePrefix="0" xfId="0">
      <alignment horizontal="general" vertical="center"/>
    </xf>
    <xf numFmtId="3" fontId="5" fillId="0" borderId="0" applyAlignment="1" pivotButton="0" quotePrefix="0" xfId="0">
      <alignment horizontal="general" vertical="center"/>
    </xf>
    <xf numFmtId="4" fontId="13" fillId="0" borderId="0" applyAlignment="1" pivotButton="0" quotePrefix="0" xfId="0">
      <alignment horizontal="general" vertical="center"/>
    </xf>
    <xf numFmtId="4" fontId="12" fillId="4" borderId="0" applyAlignment="1" pivotButton="0" quotePrefix="0" xfId="0">
      <alignment horizontal="general" vertical="center"/>
    </xf>
    <xf numFmtId="4" fontId="5" fillId="0" borderId="0" applyAlignment="1" pivotButton="0" quotePrefix="0" xfId="0">
      <alignment horizontal="general" vertical="center"/>
    </xf>
    <xf numFmtId="0" fontId="14" fillId="5" borderId="0" applyAlignment="1" pivotButton="0" quotePrefix="0" xfId="0">
      <alignment horizontal="general" vertical="center"/>
    </xf>
    <xf numFmtId="165" fontId="5" fillId="3" borderId="0" applyAlignment="1" pivotButton="0" quotePrefix="0" xfId="0">
      <alignment horizontal="general" vertical="center"/>
    </xf>
    <xf numFmtId="0" fontId="9" fillId="0" borderId="0" applyAlignment="1" pivotButton="0" quotePrefix="0" xfId="0">
      <alignment horizontal="general" vertical="center" wrapText="1"/>
    </xf>
    <xf numFmtId="0" fontId="14" fillId="0" borderId="0" applyAlignment="1" pivotButton="0" quotePrefix="0" xfId="0">
      <alignment horizontal="general" vertical="center"/>
    </xf>
    <xf numFmtId="165" fontId="14" fillId="3" borderId="0" applyAlignment="1" pivotButton="0" quotePrefix="0" xfId="0">
      <alignment horizontal="general" vertical="center"/>
    </xf>
    <xf numFmtId="0" fontId="5" fillId="0" borderId="0" applyAlignment="1" pivotButton="0" quotePrefix="0" xfId="0">
      <alignment horizontal="general" vertical="center" wrapText="1"/>
    </xf>
    <xf numFmtId="0" fontId="15" fillId="5" borderId="0" applyAlignment="1" pivotButton="0" quotePrefix="0" xfId="0">
      <alignment horizontal="general" vertical="center"/>
    </xf>
    <xf numFmtId="3" fontId="13" fillId="0" borderId="0" applyAlignment="1" pivotButton="0" quotePrefix="0" xfId="0">
      <alignment horizontal="general" vertical="center"/>
    </xf>
    <xf numFmtId="3" fontId="12" fillId="4" borderId="0" applyAlignment="1" pivotButton="0" quotePrefix="0" xfId="0">
      <alignment horizontal="general" vertical="center"/>
    </xf>
    <xf numFmtId="3" fontId="14" fillId="0" borderId="0" applyAlignment="1" pivotButton="0" quotePrefix="0" xfId="0">
      <alignment horizontal="general" vertical="center"/>
    </xf>
    <xf numFmtId="166" fontId="5" fillId="0" borderId="0" applyAlignment="1" pivotButton="0" quotePrefix="0" xfId="0">
      <alignment horizontal="general" vertical="center"/>
    </xf>
    <xf numFmtId="165" fontId="5" fillId="0" borderId="0" applyAlignment="1" pivotButton="0" quotePrefix="0" xfId="0">
      <alignment horizontal="general" vertical="center"/>
    </xf>
    <xf numFmtId="0" fontId="16" fillId="0" borderId="0" applyAlignment="1" pivotButton="0" quotePrefix="0" xfId="0">
      <alignment horizontal="general" vertical="center"/>
    </xf>
    <xf numFmtId="0" fontId="14" fillId="5" borderId="0" applyAlignment="1" pivotButton="0" quotePrefix="0" xfId="0">
      <alignment horizontal="general" vertical="center" wrapText="1"/>
    </xf>
    <xf numFmtId="0" fontId="15" fillId="5" borderId="0" applyAlignment="1" pivotButton="0" quotePrefix="0" xfId="0">
      <alignment horizontal="general" vertical="bottom"/>
    </xf>
    <xf numFmtId="0" fontId="0" fillId="5" borderId="0" applyAlignment="1" pivotButton="0" quotePrefix="0" xfId="0">
      <alignment horizontal="general" vertical="bottom"/>
    </xf>
    <xf numFmtId="0" fontId="14" fillId="5" borderId="0" applyAlignment="1" pivotButton="0" quotePrefix="0" xfId="0">
      <alignment horizontal="center" vertical="center" wrapText="1"/>
    </xf>
    <xf numFmtId="0" fontId="12" fillId="0" borderId="0" applyAlignment="1" pivotButton="0" quotePrefix="0" xfId="0">
      <alignment horizontal="general" vertical="center"/>
    </xf>
    <xf numFmtId="3" fontId="12" fillId="0" borderId="0" applyAlignment="1" pivotButton="0" quotePrefix="0" xfId="0">
      <alignment horizontal="general" vertical="center"/>
    </xf>
    <xf numFmtId="165" fontId="12" fillId="0" borderId="0" applyAlignment="1" pivotButton="0" quotePrefix="0" xfId="0">
      <alignment horizontal="general" vertical="center"/>
    </xf>
    <xf numFmtId="0" fontId="5" fillId="0" borderId="0" applyAlignment="1" pivotButton="0" quotePrefix="0" xfId="0">
      <alignment horizontal="general" vertical="top" wrapText="1"/>
    </xf>
    <xf numFmtId="0" fontId="1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99"/>
  <sheetViews>
    <sheetView showFormulas="0" showGridLines="1" showRowColHeaders="1" showZeros="1" rightToLeft="0" tabSelected="1" showOutlineSymbols="1" defaultGridColor="1"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41" min="1" max="1"/>
    <col width="30" customWidth="1" style="41" min="2" max="2"/>
    <col width="74" customWidth="1" style="41" min="3" max="3"/>
    <col width="62" customWidth="1" style="41" min="4" max="4"/>
    <col width="16" customWidth="1" style="41" min="5" max="5"/>
    <col width="12" customWidth="1" style="41" min="6" max="6"/>
    <col width="46" customWidth="1" style="41" min="7" max="7"/>
  </cols>
  <sheetData>
    <row r="1" ht="19.5" customHeight="1" s="42">
      <c r="A1" s="43" t="inlineStr">
        <is>
          <t>GPU Memory Sizing — LoRA Fine-Tuning a Transformer on a Single GPU</t>
        </is>
      </c>
      <c r="B1" s="44" t="n"/>
      <c r="C1" s="44" t="n"/>
      <c r="D1" s="44" t="n"/>
      <c r="E1" s="44" t="n"/>
      <c r="F1" s="44" t="n"/>
      <c r="G1" s="44" t="n"/>
    </row>
    <row r="2" ht="15" customHeight="1" s="42">
      <c r="A2" s="45" t="inlineStr">
        <is>
          <t>Companion tool to Article 2, "Fine-Tuning: What Changes When You Freeze the Base." Fill in the four steps below to size your GPU. Every formula ties back to benchmark/predictions_finetune.py — see the Notes &amp; Sources tab.</t>
        </is>
      </c>
      <c r="B2" s="44" t="n"/>
      <c r="C2" s="44" t="n"/>
      <c r="D2" s="44" t="n"/>
      <c r="E2" s="44" t="n"/>
      <c r="F2" s="44" t="n"/>
      <c r="G2" s="44" t="n"/>
    </row>
    <row r="3" ht="15" customHeight="1" s="42">
      <c r="A3" s="44" t="n"/>
      <c r="B3" s="44" t="n"/>
      <c r="C3" s="44" t="n"/>
      <c r="D3" s="44" t="n"/>
      <c r="E3" s="44" t="n"/>
      <c r="F3" s="44" t="n"/>
      <c r="G3" s="44" t="n"/>
    </row>
    <row r="4" ht="18" customHeight="1" s="42">
      <c r="A4" s="46" t="inlineStr">
        <is>
          <t>YOUR ANSWER — this strip stays visible while you change anything below</t>
        </is>
      </c>
    </row>
    <row r="5" ht="18" customHeight="1" s="42">
      <c r="A5" s="47" t="inlineStr">
        <is>
          <t>TOTAL GPU MEMORY NEEDED (GB)</t>
        </is>
      </c>
      <c r="B5" s="48">
        <f>Total_Reserved_GB</f>
        <v/>
      </c>
      <c r="C5" s="49" t="inlineStr">
        <is>
          <t>Size your GPU against this number. It is peak allocated memory plus allocator overhead.</t>
        </is>
      </c>
      <c r="D5" s="44" t="n"/>
      <c r="E5" s="44" t="n"/>
      <c r="F5" s="44" t="n"/>
      <c r="G5" s="44" t="n"/>
    </row>
    <row r="6" ht="15" customHeight="1" s="42">
      <c r="A6" s="44" t="inlineStr">
        <is>
          <t>Your GPU's usable capacity (GB)</t>
        </is>
      </c>
      <c r="B6" s="50">
        <f>Capacity_Used_GB</f>
        <v/>
      </c>
      <c r="C6" s="49" t="inlineStr">
        <is>
          <t>Set in Step 4 below.</t>
        </is>
      </c>
      <c r="D6" s="44" t="n"/>
      <c r="E6" s="44" t="n"/>
      <c r="F6" s="44" t="n"/>
      <c r="G6" s="44" t="n"/>
    </row>
    <row r="7" ht="21.75" customHeight="1" s="42">
      <c r="A7" s="51" t="inlineStr">
        <is>
          <t>Does this job fit?</t>
        </is>
      </c>
      <c r="B7" s="52">
        <f>IF(Capacity_Used_GB&lt;=0,"Enter a capacity override in Step 4",IF(Total_Reserved_GB&lt;=Capacity_Used_GB,"FITS","DOES NOT FIT — expect an out-of-memory error"))</f>
        <v/>
      </c>
      <c r="C7" s="44" t="n"/>
      <c r="D7" s="44" t="n"/>
      <c r="E7" s="44" t="n"/>
      <c r="F7" s="44" t="n"/>
      <c r="G7" s="44" t="n"/>
    </row>
    <row r="8" ht="15" customHeight="1" s="42">
      <c r="A8" s="44" t="inlineStr">
        <is>
          <t>Headroom (GB)</t>
        </is>
      </c>
      <c r="B8" s="50">
        <f>Capacity_Used_GB-Total_Reserved_GB</f>
        <v/>
      </c>
      <c r="C8" s="49" t="inlineStr">
        <is>
          <t>Negative means you are over capacity by this much.</t>
        </is>
      </c>
      <c r="D8" s="44" t="n"/>
      <c r="E8" s="44" t="n"/>
      <c r="F8" s="44" t="n"/>
      <c r="G8" s="44" t="n"/>
    </row>
    <row r="9" ht="15" customHeight="1" s="42">
      <c r="A9" s="44" t="inlineStr">
        <is>
          <t>Card utilization</t>
        </is>
      </c>
      <c r="B9" s="53">
        <f>IF(Capacity_Used_GB&lt;=0,"",Total_Reserved_GB/Capacity_Used_GB)</f>
        <v/>
      </c>
      <c r="C9" s="44" t="n"/>
      <c r="D9" s="44" t="n"/>
      <c r="E9" s="44" t="n"/>
      <c r="F9" s="44" t="n"/>
      <c r="G9" s="44" t="n"/>
    </row>
    <row r="10" ht="15" customHeight="1" s="42">
      <c r="A10" s="44" t="n"/>
      <c r="B10" s="44" t="n"/>
      <c r="C10" s="44" t="n"/>
      <c r="D10" s="44" t="n"/>
      <c r="E10" s="44" t="n"/>
      <c r="F10" s="44" t="n"/>
      <c r="G10" s="44" t="n"/>
    </row>
    <row r="11" ht="15" customHeight="1" s="42">
      <c r="A11" s="54" t="inlineStr">
        <is>
          <t>LEGEND:  blue text on yellow = you edit these  |  black text = calculated, do not edit  |  green text = pulled from another tab  |  grey italic = help text and sources</t>
        </is>
      </c>
      <c r="B11" s="44" t="n"/>
      <c r="C11" s="44" t="n"/>
      <c r="D11" s="44" t="n"/>
      <c r="E11" s="44" t="n"/>
      <c r="F11" s="44" t="n"/>
      <c r="G11" s="44" t="n"/>
    </row>
    <row r="12" ht="15" customHeight="1" s="42">
      <c r="A12" s="44" t="n"/>
      <c r="B12" s="44" t="n"/>
      <c r="C12" s="44" t="n"/>
      <c r="D12" s="44" t="n"/>
      <c r="E12" s="44" t="n"/>
      <c r="F12" s="44" t="n"/>
      <c r="G12" s="44" t="n"/>
    </row>
    <row r="13" ht="18" customHeight="1" s="42">
      <c r="A13" s="46" t="inlineStr">
        <is>
          <t>STEP 1 — YOUR BASE MODEL</t>
        </is>
      </c>
    </row>
    <row r="14" ht="15" customHeight="1" s="42">
      <c r="A14" s="44" t="inlineStr">
        <is>
          <t>Base model</t>
        </is>
      </c>
      <c r="B14" s="55" t="inlineStr">
        <is>
          <t>TinyLlama-1.1B (worked model)</t>
        </is>
      </c>
      <c r="C14" s="49" t="inlineStr">
        <is>
          <t>Pick from the dropdown. The dropdown covers common LLaMA-family fine-tune targets.</t>
        </is>
      </c>
      <c r="D14" s="44" t="n"/>
      <c r="E14" s="44" t="n"/>
      <c r="F14" s="44" t="n"/>
      <c r="G14" s="44" t="n"/>
    </row>
    <row r="15" ht="15" customHeight="1" s="42">
      <c r="A15" s="44" t="inlineStr">
        <is>
          <t>Architecture</t>
        </is>
      </c>
      <c r="B15" s="45">
        <f>"Hidden dimension "&amp;TEXT(Hidden_Dimension,"#,##0")&amp;"   x   "&amp;TEXT(Layers,"0")&amp;" layers   x   "&amp;TEXT(Attention_Heads,"0")&amp;" attention heads / "&amp;TEXT(KV_Heads,"0")&amp;" KV heads (GQA)   x   FF "&amp;TEXT(FF_Intermediate_Size,"#,##0")&amp;"   x   vocab "&amp;TEXT(Output_Vocabulary,"#,##0")</f>
        <v/>
      </c>
      <c r="C15" s="44" t="n"/>
      <c r="D15" s="44" t="n"/>
      <c r="E15" s="44" t="n"/>
      <c r="F15" s="44" t="n"/>
      <c r="G15" s="44" t="n"/>
    </row>
    <row r="16" ht="15" customHeight="1" s="42">
      <c r="A16" s="44" t="inlineStr">
        <is>
          <t>Base parameter count</t>
        </is>
      </c>
      <c r="B16" s="56">
        <f>Base_Parameter_Count</f>
        <v/>
      </c>
      <c r="C16" s="49" t="inlineStr">
        <is>
          <t>From the preset. Override on the Advanced section if you have a variant.</t>
        </is>
      </c>
      <c r="D16" s="44" t="n"/>
      <c r="E16" s="44" t="n"/>
      <c r="F16" s="44" t="n"/>
      <c r="G16" s="44" t="n"/>
    </row>
    <row r="17" ht="15" customHeight="1" s="42">
      <c r="A17" s="44" t="inlineStr">
        <is>
          <t>Base storage precision</t>
        </is>
      </c>
      <c r="B17" s="55" t="inlineStr">
        <is>
          <t>BF16 (2 bytes/param)</t>
        </is>
      </c>
      <c r="C17" s="49" t="inlineStr">
        <is>
          <t>Standard bf16 loading is 2 bytes per parameter. INT8 (bitsandbytes) is 1 byte. INT4 (QLoRA) is 0.5 bytes. Only the frozen base changes; adapters are always fp32.</t>
        </is>
      </c>
      <c r="D17" s="44" t="n"/>
      <c r="E17" s="44" t="n"/>
      <c r="F17" s="44" t="n"/>
      <c r="G17" s="44" t="n"/>
    </row>
    <row r="18" ht="15" customHeight="1" s="42">
      <c r="A18" s="44" t="n"/>
      <c r="B18" s="44" t="n"/>
      <c r="C18" s="44" t="n"/>
      <c r="D18" s="44" t="n"/>
      <c r="E18" s="44" t="n"/>
      <c r="F18" s="44" t="n"/>
      <c r="G18" s="44" t="n"/>
    </row>
    <row r="19" ht="18" customHeight="1" s="42">
      <c r="A19" s="46" t="inlineStr">
        <is>
          <t>STEP 2 — YOUR FINE-TUNE CONFIGURATION</t>
        </is>
      </c>
    </row>
    <row r="20" ht="15" customHeight="1" s="42">
      <c r="A20" s="44" t="inlineStr">
        <is>
          <t>Batch size (rows per batch)</t>
        </is>
      </c>
      <c r="B20" s="55" t="n">
        <v>8</v>
      </c>
      <c r="C20" s="49" t="inlineStr">
        <is>
          <t>Examples processed at once. Drives activations linearly.</t>
        </is>
      </c>
      <c r="D20" s="44" t="n"/>
      <c r="E20" s="44" t="n"/>
      <c r="F20" s="44" t="n"/>
      <c r="G20" s="44" t="n"/>
    </row>
    <row r="21" ht="15" customHeight="1" s="42">
      <c r="A21" s="44" t="inlineStr">
        <is>
          <t>Sequence length (tokens per example)</t>
        </is>
      </c>
      <c r="B21" s="55" t="n">
        <v>512</v>
      </c>
      <c r="C21" s="49" t="inlineStr">
        <is>
          <t>Tokens per example. Drives activations linearly.</t>
        </is>
      </c>
      <c r="D21" s="44" t="n"/>
      <c r="E21" s="44" t="n"/>
      <c r="F21" s="44" t="n"/>
      <c r="G21" s="44" t="n"/>
    </row>
    <row r="22" ht="15" customHeight="1" s="42">
      <c r="A22" s="44" t="inlineStr">
        <is>
          <t>Compute precision</t>
        </is>
      </c>
      <c r="B22" s="55" t="inlineStr">
        <is>
          <t>BF16 mixed precision</t>
        </is>
      </c>
      <c r="C22" s="49" t="inlineStr">
        <is>
          <t>Mixed precision computes in 16-bit. The frozen base uses your Step 1 storage precision. Adapters stay fp32.</t>
        </is>
      </c>
      <c r="D22" s="44" t="n"/>
      <c r="E22" s="44" t="n"/>
      <c r="F22" s="44" t="n"/>
      <c r="G22" s="44" t="n"/>
    </row>
    <row r="23" ht="15" customHeight="1" s="42">
      <c r="A23" s="44" t="n"/>
      <c r="B23" s="44" t="n"/>
      <c r="C23" s="44" t="n"/>
      <c r="D23" s="44" t="n"/>
      <c r="E23" s="44" t="n"/>
      <c r="F23" s="44" t="n"/>
      <c r="G23" s="44" t="n"/>
    </row>
    <row r="24" ht="18" customHeight="1" s="42">
      <c r="A24" s="46" t="inlineStr">
        <is>
          <t>STEP 3 — LoRA OPTIONS</t>
        </is>
      </c>
    </row>
    <row r="25" ht="15" customHeight="1" s="42">
      <c r="A25" s="44" t="inlineStr">
        <is>
          <t>LoRA rank (r)</t>
        </is>
      </c>
      <c r="B25" s="55" t="n">
        <v>8</v>
      </c>
      <c r="C25" s="49" t="inlineStr">
        <is>
          <t>Typical values 4-64. Adapter parameter count is linear in r. Rank 8 is a good default; the article shows why 8 is 'flat' — everything except adapter/gradient/optimizer is unmoved by rank.</t>
        </is>
      </c>
      <c r="D25" s="44" t="n"/>
      <c r="E25" s="44" t="n"/>
      <c r="F25" s="44" t="n"/>
      <c r="G25" s="44" t="n"/>
    </row>
    <row r="26" ht="15" customHeight="1" s="42">
      <c r="A26" s="44" t="inlineStr">
        <is>
          <t>Adapter targets per layer</t>
        </is>
      </c>
      <c r="B26" s="55" t="inlineStr">
        <is>
          <t>Attention + MLP (Q, K, V, O, gate, up, down)</t>
        </is>
      </c>
      <c r="C26" s="49" t="inlineStr">
        <is>
          <t>Attention-only targets 4 projections per layer. Attention + MLP targets 7 (adds gate, up, down). The formula uses this to compute adapter count.</t>
        </is>
      </c>
      <c r="D26" s="44" t="n"/>
      <c r="E26" s="44" t="n"/>
      <c r="F26" s="44" t="n"/>
      <c r="G26" s="44" t="n"/>
    </row>
    <row r="27" ht="15" customHeight="1" s="42">
      <c r="A27" s="44" t="inlineStr">
        <is>
          <t>Adapter placement (which layers)</t>
        </is>
      </c>
      <c r="B27" s="55" t="inlineStr">
        <is>
          <t>All layers</t>
        </is>
      </c>
      <c r="C27" s="49" t="inlineStr">
        <is>
          <t>Adapters on all layers means every layer's activations must be kept for backward. Upper-N caps this to the top N layers only — the layers below don't save activations. Zero-effect on frozen-weight bytes; the leverage is activation memory.</t>
        </is>
      </c>
      <c r="D27" s="44" t="n"/>
      <c r="E27" s="44" t="n"/>
      <c r="F27" s="44" t="n"/>
      <c r="G27" s="44" t="n"/>
    </row>
    <row r="28" ht="15" customHeight="1" s="42">
      <c r="A28" s="44" t="inlineStr">
        <is>
          <t>Optimizer</t>
        </is>
      </c>
      <c r="B28" s="55" t="inlineStr">
        <is>
          <t>Standard Adam</t>
        </is>
      </c>
      <c r="C28" s="49" t="inlineStr">
        <is>
          <t>8-bit Adam cuts adapter optimizer state from 8 to 2 bytes per adapter parameter. This is a small saving in absolute terms since adapters are &lt;1% of parameters.</t>
        </is>
      </c>
      <c r="D28" s="44" t="n"/>
      <c r="E28" s="44" t="n"/>
      <c r="F28" s="44" t="n"/>
      <c r="G28" s="44" t="n"/>
    </row>
    <row r="29" ht="15" customHeight="1" s="42">
      <c r="A29" s="44" t="inlineStr">
        <is>
          <t>Activation checkpointing</t>
        </is>
      </c>
      <c r="B29" s="55" t="inlineStr">
        <is>
          <t>Off</t>
        </is>
      </c>
      <c r="C29" s="49" t="inlineStr">
        <is>
          <t>The highest-leverage lever, same as training. Turning it On trades roughly a third more training time for a large drop in activation memory. Under checkpointing the peak becomes the max of three phase peaks, not their sum.</t>
        </is>
      </c>
      <c r="D29" s="44" t="n"/>
      <c r="E29" s="44" t="n"/>
      <c r="F29" s="44" t="n"/>
      <c r="G29" s="44" t="n"/>
    </row>
    <row r="30" ht="15" customHeight="1" s="42">
      <c r="A30" s="44" t="n"/>
      <c r="B30" s="44" t="n"/>
      <c r="C30" s="44" t="n"/>
      <c r="D30" s="44" t="n"/>
      <c r="E30" s="44" t="n"/>
      <c r="F30" s="44" t="n"/>
      <c r="G30" s="44" t="n"/>
    </row>
    <row r="31" ht="18" customHeight="1" s="42">
      <c r="A31" s="46" t="inlineStr">
        <is>
          <t>STEP 4 — YOUR HARDWARE</t>
        </is>
      </c>
    </row>
    <row r="32" ht="15" customHeight="1" s="42">
      <c r="A32" s="44" t="inlineStr">
        <is>
          <t>GPU</t>
        </is>
      </c>
      <c r="B32" s="55" t="inlineStr">
        <is>
          <t>NVIDIA H100 80GB</t>
        </is>
      </c>
      <c r="C32" s="49" t="inlineStr">
        <is>
          <t>One GPU. Multi-GPU strategies are a later article in the series.</t>
        </is>
      </c>
      <c r="D32" s="44" t="n"/>
      <c r="E32" s="44" t="n"/>
      <c r="F32" s="44" t="n"/>
      <c r="G32" s="44" t="n"/>
    </row>
    <row r="33" ht="15" customHeight="1" s="42">
      <c r="A33" s="44" t="inlineStr">
        <is>
          <t>Usable capacity after driver reserve (GB)</t>
        </is>
      </c>
      <c r="B33" s="57">
        <f>INDEX('GPU Capacity'!$C$5:$C$16,MATCH(GPU_Choice,'GPU Capacity'!$A$5:$A$16,0))</f>
        <v/>
      </c>
      <c r="C33" s="49" t="inlineStr">
        <is>
          <t>From the GPU Capacity tab.</t>
        </is>
      </c>
      <c r="D33" s="44" t="n"/>
      <c r="E33" s="44" t="n"/>
      <c r="F33" s="44" t="n"/>
      <c r="G33" s="44" t="n"/>
    </row>
    <row r="34" ht="15" customHeight="1" s="42">
      <c r="A34" s="44" t="inlineStr">
        <is>
          <t>Your capacity override (GB)</t>
        </is>
      </c>
      <c r="B34" s="58" t="n"/>
      <c r="C34" s="49" t="inlineStr">
        <is>
          <t>Fill this in if your card is not in the list, or you want to reserve capacity for something else.</t>
        </is>
      </c>
      <c r="D34" s="44" t="n"/>
      <c r="E34" s="44" t="n"/>
      <c r="F34" s="44" t="n"/>
      <c r="G34" s="44" t="n"/>
    </row>
    <row r="35" ht="15" customHeight="1" s="42">
      <c r="A35" s="44" t="inlineStr">
        <is>
          <t>Capacity used in this calculation (GB)</t>
        </is>
      </c>
      <c r="B35" s="59">
        <f>IF(GPU_Capacity_Override_GB="",GPU_Usable_Capacity_GB,GPU_Capacity_Override_GB)</f>
        <v/>
      </c>
      <c r="C35" s="44" t="n"/>
      <c r="D35" s="44" t="n"/>
      <c r="E35" s="44" t="n"/>
      <c r="F35" s="44" t="n"/>
      <c r="G35" s="44" t="n"/>
    </row>
    <row r="36" ht="15" customHeight="1" s="42">
      <c r="A36" s="44" t="n"/>
      <c r="B36" s="44" t="n"/>
      <c r="C36" s="44" t="n"/>
      <c r="D36" s="44" t="n"/>
      <c r="E36" s="44" t="n"/>
      <c r="F36" s="44" t="n"/>
      <c r="G36" s="44" t="n"/>
    </row>
    <row r="37" ht="18" customHeight="1" s="42">
      <c r="A37" s="46" t="inlineStr">
        <is>
          <t>RESULT — THE SEVEN LINE ITEMS (GB)</t>
        </is>
      </c>
    </row>
    <row r="38" ht="15" customHeight="1" s="42">
      <c r="A38" s="60" t="inlineStr">
        <is>
          <t>Line item</t>
        </is>
      </c>
      <c r="B38" s="60" t="inlineStr">
        <is>
          <t>Memory (GB)</t>
        </is>
      </c>
      <c r="C38" s="60" t="inlineStr">
        <is>
          <t>What drives it</t>
        </is>
      </c>
      <c r="D38" s="60" t="inlineStr">
        <is>
          <t>Source in benchmark/predictions_finetune.py</t>
        </is>
      </c>
      <c r="E38" s="44" t="n"/>
      <c r="F38" s="44" t="n"/>
      <c r="G38" s="44" t="n"/>
    </row>
    <row r="39" ht="33.75" customHeight="1" s="42">
      <c r="A39" s="44" t="inlineStr">
        <is>
          <t>Frozen base weights</t>
        </is>
      </c>
      <c r="B39" s="61">
        <f>Base_Parameter_Count*Base_Storage_Bytes_Per_Param/1000000000</f>
        <v/>
      </c>
      <c r="C39" s="62" t="inlineStr">
        <is>
          <t>Parameter count x storage bytes. Storage depends on Step 1 (bf16=2, int8=1, int4=0.5). No gradient stored — the base is frozen.</t>
        </is>
      </c>
      <c r="D39" s="62" t="inlineStr">
        <is>
          <t>predict_frozen_weights_bytes()</t>
        </is>
      </c>
      <c r="E39" s="44" t="n"/>
      <c r="F39" s="44" t="n"/>
      <c r="G39" s="44" t="n"/>
    </row>
    <row r="40" ht="30" customHeight="1" s="42">
      <c r="A40" s="44" t="inlineStr">
        <is>
          <t>Adapter weights</t>
        </is>
      </c>
      <c r="B40" s="61">
        <f>Adapter_Parameter_Count*4/1000000000</f>
        <v/>
      </c>
      <c r="C40" s="62" t="inlineStr">
        <is>
          <t>LoRA adapters kept in fp32 regardless of Step 2 precision — the small updates would otherwise get rounded away.</t>
        </is>
      </c>
      <c r="D40" s="62" t="inlineStr">
        <is>
          <t>predict_adapter_weights_bytes()</t>
        </is>
      </c>
      <c r="E40" s="44" t="n"/>
      <c r="F40" s="44" t="n"/>
      <c r="G40" s="44" t="n"/>
    </row>
    <row r="41" ht="30" customHeight="1" s="42">
      <c r="A41" s="44" t="inlineStr">
        <is>
          <t>Adapter gradients</t>
        </is>
      </c>
      <c r="B41" s="61">
        <f>Adapter_Parameter_Count*4/1000000000</f>
        <v/>
      </c>
      <c r="C41" s="62" t="inlineStr">
        <is>
          <t>One gradient per trainable parameter, fp32. Frozen base has no gradient.</t>
        </is>
      </c>
      <c r="D41" s="62" t="inlineStr">
        <is>
          <t>predict_adapter_gradients_bytes()</t>
        </is>
      </c>
      <c r="E41" s="44" t="n"/>
      <c r="F41" s="44" t="n"/>
      <c r="G41" s="44" t="n"/>
    </row>
    <row r="42" ht="33.75" customHeight="1" s="42">
      <c r="A42" s="44" t="inlineStr">
        <is>
          <t>Adapter optimizer state</t>
        </is>
      </c>
      <c r="B42" s="61">
        <f>Adapter_Parameter_Count*Optimizer_Bytes_Per_Adapter_Param/1000000000</f>
        <v/>
      </c>
      <c r="C42" s="62" t="inlineStr">
        <is>
          <t>Standard Adam: 8 bytes per adapter parameter. 8-bit Adam: 2 bytes. Same arithmetic as training, applied to &lt;1% of the parameter count.</t>
        </is>
      </c>
      <c r="D42" s="62" t="inlineStr">
        <is>
          <t>predict_adapter_optimizer_bytes()</t>
        </is>
      </c>
      <c r="E42" s="44" t="n"/>
      <c r="F42" s="44" t="n"/>
      <c r="G42" s="44" t="n"/>
    </row>
    <row r="43" ht="45.75" customHeight="1" s="42">
      <c r="A43" s="44" t="inlineStr">
        <is>
          <t>Autocast weight cache</t>
        </is>
      </c>
      <c r="B43" s="61">
        <f>IF(Compute_Precision="BF16 mixed precision",IF(Base_Storage_Precision="FP32 (4 bytes/param)",(Base_Parameter_Count+Adapter_Parameter_Count)*2,Adapter_Parameter_Count*2),0)/1000000000</f>
        <v/>
      </c>
      <c r="C43" s="62" t="inlineStr">
        <is>
          <t>Under bf16 autocast PyTorch caches a bf16 copy of each fp32 weight it casts. Base is loaded at bf16 directly, so this collapses to the adapter-only residual — megabytes at rank 8. Article 1's ~n_params*2 term only reappears if the base is loaded fp32.</t>
        </is>
      </c>
      <c r="D43" s="62" t="inlineStr">
        <is>
          <t>predict_autocast_weight_cache_bytes()</t>
        </is>
      </c>
      <c r="E43" s="44" t="n"/>
      <c r="F43" s="44" t="n"/>
      <c r="G43" s="44" t="n"/>
    </row>
    <row r="44" ht="30" customHeight="1" s="42">
      <c r="A44" s="44" t="inlineStr">
        <is>
          <t>Activations</t>
        </is>
      </c>
      <c r="B44" s="61">
        <f>IF(Activation_Checkpointing="On",Activations_Ckpt_On_Bytes,Activations_Ckpt_Off_Bytes)/1000000000</f>
        <v/>
      </c>
      <c r="C44" s="62" t="inlineStr">
        <is>
          <t>The dynamic line item. Scales with batch x sequence x number of layers needing backward. Adapter placement scales this directly.</t>
        </is>
      </c>
      <c r="D44" s="62" t="inlineStr">
        <is>
          <t>predict_activation_bytes()</t>
        </is>
      </c>
      <c r="E44" s="44" t="n"/>
      <c r="F44" s="44" t="n"/>
      <c r="G44" s="44" t="n"/>
    </row>
    <row r="45" ht="45.75" customHeight="1" s="42">
      <c r="A45" s="44" t="inlineStr">
        <is>
          <t>Matrix-multiply workspace (cuBLAS)</t>
        </is>
      </c>
      <c r="B45" s="61">
        <f>IF(Activation_Checkpointing="On",0,cuBLAS_Workspace_Bytes)/1000000000</f>
        <v/>
      </c>
      <c r="C45" s="62" t="inlineStr">
        <is>
          <t>cuBLAS caches GEMM workspace buffers per matmul shape. Empirically: K = 4.316 + 1.871 x L_bwd workspaces of size batch x seq x d x 4 bytes. Under checkpointing the allocator pressure forces cuBLAS to release these between segments, so this is zero.</t>
        </is>
      </c>
      <c r="D45" s="62" t="inlineStr">
        <is>
          <t>predict_cublas_workspace_bytes()</t>
        </is>
      </c>
      <c r="E45" s="44" t="n"/>
      <c r="F45" s="44" t="n"/>
      <c r="G45" s="44" t="n"/>
    </row>
    <row r="46" ht="30" customHeight="1" s="42">
      <c r="A46" s="63" t="inlineStr">
        <is>
          <t>PEAK ALLOCATED (GB)</t>
        </is>
      </c>
      <c r="B46" s="64">
        <f>IF(Activation_Checkpointing="On",MAX(Phase_Peak_Backward_GB,Phase_Peak_Optimizer_Step_GB,Phase_Peak_Forward_GB),Frozen_Base_Weights_GB+Adapter_Weights_GB+Adapter_Gradients_GB+Adapter_Optimizer_State_GB+Autocast_Weight_Cache_GB+Activations_GB+MatMul_Workspace_GB)</f>
        <v/>
      </c>
      <c r="C46" s="65" t="n"/>
      <c r="D46" s="62" t="inlineStr">
        <is>
          <t>predict_line_items_finetune()</t>
        </is>
      </c>
      <c r="E46" s="44" t="n"/>
      <c r="F46" s="44" t="n"/>
      <c r="G46" s="44" t="n"/>
    </row>
    <row r="47" ht="30" customHeight="1" s="42">
      <c r="A47" s="44" t="inlineStr">
        <is>
          <t>Allocator overhead — CUDA context plus fragmentation (GB)</t>
        </is>
      </c>
      <c r="B47" s="61">
        <f>CUDA_Context_GB+IF(Activation_Checkpointing="On",Fragmentation_Ckpt_On_GB,Fragmentation_Ckpt_Off_GB)</f>
        <v/>
      </c>
      <c r="C47" s="65" t="n"/>
      <c r="D47" s="62" t="inlineStr">
        <is>
          <t>predictions_finetune.py — CUDA_CONTEXT_GB + FRAGMENTATION_GB</t>
        </is>
      </c>
      <c r="E47" s="44" t="n"/>
      <c r="F47" s="44" t="n"/>
      <c r="G47" s="44" t="n"/>
    </row>
    <row r="48" ht="30" customHeight="1" s="42">
      <c r="A48" s="63" t="inlineStr">
        <is>
          <t>TOTAL TO SIZE AGAINST — reserved (GB)</t>
        </is>
      </c>
      <c r="B48" s="64">
        <f>Peak_Allocated_GB+Allocator_Overhead_GB</f>
        <v/>
      </c>
      <c r="C48" s="65" t="n"/>
      <c r="D48" s="62" t="inlineStr">
        <is>
          <t>predict_line_items_finetune()</t>
        </is>
      </c>
      <c r="E48" s="44" t="n"/>
      <c r="F48" s="44" t="n"/>
      <c r="G48" s="44" t="n"/>
    </row>
    <row r="49" ht="25.5" customHeight="1" s="42">
      <c r="A49" s="44" t="inlineStr">
        <is>
          <t>Which phase sets the peak</t>
        </is>
      </c>
      <c r="B49" s="44">
        <f>IF(Activation_Checkpointing="Off","Not applicable — activation checkpointing is off; peak is the sum of all line items",IF(Phase_Peak_Backward_GB&gt;=Phase_Peak_Optimizer_Step_GB,IF(Phase_Peak_Backward_GB&gt;=Phase_Peak_Forward_GB,"1 — backward with recompute","3 — forward pass"),IF(Phase_Peak_Optimizer_Step_GB&gt;=Phase_Peak_Forward_GB,"2 — optimizer step","3 — forward pass")))</f>
        <v/>
      </c>
      <c r="C49" s="62" t="inlineStr">
        <is>
          <t>With activation checkpointing on, peak memory is the largest of three moments, not their sum.</t>
        </is>
      </c>
      <c r="D49" s="44" t="n"/>
      <c r="E49" s="44" t="n"/>
      <c r="F49" s="44" t="n"/>
      <c r="G49" s="44" t="n"/>
    </row>
    <row r="50" ht="15" customHeight="1" s="42">
      <c r="A50" s="44" t="n"/>
      <c r="B50" s="44" t="n"/>
      <c r="C50" s="44" t="n"/>
      <c r="D50" s="44" t="n"/>
      <c r="E50" s="44" t="n"/>
      <c r="F50" s="44" t="n"/>
      <c r="G50" s="44" t="n"/>
    </row>
    <row r="51" ht="18" customHeight="1" s="42">
      <c r="A51" s="46" t="inlineStr">
        <is>
          <t>ADVANCED — open only if you need to change the model shape, the LoRA formula, or the overhead allowances</t>
        </is>
      </c>
    </row>
    <row r="52" ht="15" customHeight="1" s="42">
      <c r="A52" s="66" t="inlineStr">
        <is>
          <t>Architecture overrides</t>
        </is>
      </c>
      <c r="B52" s="60" t="n"/>
      <c r="C52" s="60" t="n"/>
      <c r="D52" s="60" t="n"/>
      <c r="E52" s="60" t="n"/>
      <c r="F52" s="44" t="n"/>
      <c r="G52" s="44" t="n"/>
    </row>
    <row r="53" ht="15" customHeight="1" s="42">
      <c r="A53" s="44" t="n"/>
      <c r="B53" s="44" t="n"/>
      <c r="C53" s="60" t="inlineStr">
        <is>
          <t>From preset</t>
        </is>
      </c>
      <c r="D53" s="60" t="inlineStr">
        <is>
          <t>Your override (optional)</t>
        </is>
      </c>
      <c r="E53" s="60" t="inlineStr">
        <is>
          <t>Used</t>
        </is>
      </c>
      <c r="F53" s="44" t="n"/>
      <c r="G53" s="44" t="n"/>
    </row>
    <row r="54" ht="15" customHeight="1" s="42">
      <c r="A54" s="44" t="inlineStr">
        <is>
          <t xml:space="preserve">   Hidden dimension</t>
        </is>
      </c>
      <c r="B54" s="44" t="n"/>
      <c r="C54" s="67">
        <f>INDEX('Model Presets'!$B$5:$B$10,MATCH(Base_Model,'Model Presets'!$A$5:$A$10,0))</f>
        <v/>
      </c>
      <c r="D54" s="68" t="n"/>
      <c r="E54" s="56">
        <f>IF(D54="",C54,D54)</f>
        <v/>
      </c>
      <c r="F54" s="44" t="n"/>
      <c r="G54" s="44" t="n"/>
    </row>
    <row r="55" ht="15" customHeight="1" s="42">
      <c r="A55" s="44" t="inlineStr">
        <is>
          <t xml:space="preserve">   Layers</t>
        </is>
      </c>
      <c r="B55" s="44" t="n"/>
      <c r="C55" s="67">
        <f>INDEX('Model Presets'!$C$5:$C$10,MATCH(Base_Model,'Model Presets'!$A$5:$A$10,0))</f>
        <v/>
      </c>
      <c r="D55" s="68" t="n"/>
      <c r="E55" s="56">
        <f>IF(D55="",C55,D55)</f>
        <v/>
      </c>
      <c r="F55" s="44" t="n"/>
      <c r="G55" s="44" t="n"/>
    </row>
    <row r="56" ht="15" customHeight="1" s="42">
      <c r="A56" s="44" t="inlineStr">
        <is>
          <t xml:space="preserve">   Attention heads</t>
        </is>
      </c>
      <c r="B56" s="44" t="n"/>
      <c r="C56" s="67">
        <f>INDEX('Model Presets'!$D$5:$D$10,MATCH(Base_Model,'Model Presets'!$A$5:$A$10,0))</f>
        <v/>
      </c>
      <c r="D56" s="68" t="n"/>
      <c r="E56" s="56">
        <f>IF(D56="",C56,D56)</f>
        <v/>
      </c>
      <c r="F56" s="44" t="n"/>
      <c r="G56" s="44" t="n"/>
    </row>
    <row r="57" ht="15" customHeight="1" s="42">
      <c r="A57" s="44" t="inlineStr">
        <is>
          <t xml:space="preserve">   KV heads (GQA)</t>
        </is>
      </c>
      <c r="B57" s="44" t="n"/>
      <c r="C57" s="67">
        <f>INDEX('Model Presets'!$E$5:$E$10,MATCH(Base_Model,'Model Presets'!$A$5:$A$10,0))</f>
        <v/>
      </c>
      <c r="D57" s="68" t="n"/>
      <c r="E57" s="56">
        <f>IF(D57="",C57,D57)</f>
        <v/>
      </c>
      <c r="F57" s="44" t="n"/>
      <c r="G57" s="44" t="n"/>
    </row>
    <row r="58" ht="15" customHeight="1" s="42">
      <c r="A58" s="44" t="inlineStr">
        <is>
          <t xml:space="preserve">   Feed-forward intermediate size</t>
        </is>
      </c>
      <c r="B58" s="44" t="n"/>
      <c r="C58" s="67">
        <f>INDEX('Model Presets'!$F$5:$F$10,MATCH(Base_Model,'Model Presets'!$A$5:$A$10,0))</f>
        <v/>
      </c>
      <c r="D58" s="68" t="n"/>
      <c r="E58" s="56">
        <f>IF(D58="",C58,D58)</f>
        <v/>
      </c>
      <c r="F58" s="44" t="n"/>
      <c r="G58" s="44" t="n"/>
    </row>
    <row r="59" ht="15" customHeight="1" s="42">
      <c r="A59" s="44" t="inlineStr">
        <is>
          <t xml:space="preserve">   Output vocabulary</t>
        </is>
      </c>
      <c r="B59" s="44" t="n"/>
      <c r="C59" s="67">
        <f>INDEX('Model Presets'!$G$5:$G$10,MATCH(Base_Model,'Model Presets'!$A$5:$A$10,0))</f>
        <v/>
      </c>
      <c r="D59" s="68" t="n"/>
      <c r="E59" s="56">
        <f>IF(D59="",C59,D59)</f>
        <v/>
      </c>
      <c r="F59" s="44" t="n"/>
      <c r="G59" s="44" t="n"/>
    </row>
    <row r="60" ht="15" customHeight="1" s="42">
      <c r="A60" s="44" t="inlineStr">
        <is>
          <t xml:space="preserve">   Base parameter count</t>
        </is>
      </c>
      <c r="B60" s="44" t="n"/>
      <c r="C60" s="67">
        <f>INDEX('Model Presets'!$H$5:$H$10,MATCH(Base_Model,'Model Presets'!$A$5:$A$10,0))</f>
        <v/>
      </c>
      <c r="D60" s="68" t="n"/>
      <c r="E60" s="69">
        <f>IF(D60="",C60,D60)</f>
        <v/>
      </c>
      <c r="F60" s="44" t="n"/>
      <c r="G60" s="49" t="inlineStr">
        <is>
          <t>Override only if you know your exact count.</t>
        </is>
      </c>
    </row>
    <row r="61" ht="15" customHeight="1" s="42">
      <c r="A61" s="54" t="inlineStr">
        <is>
          <t>WARNING: if you override the parameter count with a value that does not match the architecture above, the activation numbers still use the architecture rows and no longer describe your model.</t>
        </is>
      </c>
      <c r="B61" s="44" t="n"/>
      <c r="C61" s="44" t="n"/>
      <c r="D61" s="44" t="n"/>
      <c r="E61" s="44" t="n"/>
      <c r="F61" s="44" t="n"/>
      <c r="G61" s="44" t="n"/>
    </row>
    <row r="62" ht="15" customHeight="1" s="42">
      <c r="A62" s="44" t="n"/>
      <c r="B62" s="44" t="n"/>
      <c r="C62" s="44" t="n"/>
      <c r="D62" s="44" t="n"/>
      <c r="E62" s="44" t="n"/>
      <c r="F62" s="44" t="n"/>
      <c r="G62" s="44" t="n"/>
    </row>
    <row r="63" ht="15" customHeight="1" s="42">
      <c r="A63" s="66" t="inlineStr">
        <is>
          <t>Adapter parameter count formula</t>
        </is>
      </c>
      <c r="B63" s="60" t="n"/>
      <c r="C63" s="60" t="n"/>
      <c r="D63" s="60" t="n"/>
      <c r="E63" s="60" t="n"/>
      <c r="F63" s="44" t="n"/>
      <c r="G63" s="44" t="n"/>
    </row>
    <row r="64" ht="15" customHeight="1" s="42">
      <c r="A64" s="44" t="inlineStr">
        <is>
          <t xml:space="preserve">   Layers with adapters (n_adapter_layers)</t>
        </is>
      </c>
      <c r="B64" s="56">
        <f>IF(Adapter_Placement="All layers",Layers,IF(Adapter_Placement="Upper-3",MIN(3,Layers),IF(Adapter_Placement="Upper-6",MIN(6,Layers),IF(Adapter_Placement="Upper-11",MIN(11,Layers),Layers))))</f>
        <v/>
      </c>
      <c r="C64" s="44" t="n"/>
      <c r="D64" s="49" t="inlineStr">
        <is>
          <t>resolve_layers_needing_backward()</t>
        </is>
      </c>
      <c r="E64" s="44" t="n"/>
      <c r="F64" s="44" t="n"/>
      <c r="G64" s="44" t="n"/>
    </row>
    <row r="65" ht="15" customHeight="1" s="42">
      <c r="A65" s="44" t="inlineStr">
        <is>
          <t xml:space="preserve">   LoRA targets per layer</t>
        </is>
      </c>
      <c r="B65" s="56">
        <f>IF(Adapter_Targets="Attention (Q, K, V, O)",4,IF(Adapter_Targets="Attention + MLP (Q, K, V, O, gate, up, down)",7,4))</f>
        <v/>
      </c>
      <c r="C65" s="49" t="inlineStr">
        <is>
          <t>4 for attention-only (QKVO); 7 adds gate, up, down MLP projections.</t>
        </is>
      </c>
      <c r="D65" s="44" t="n"/>
      <c r="E65" s="44" t="n"/>
      <c r="F65" s="44" t="n"/>
      <c r="G65" s="44" t="n"/>
    </row>
    <row r="66" ht="15" customHeight="1" s="42">
      <c r="A66" s="44" t="inlineStr">
        <is>
          <t xml:space="preserve">   Adapter params per target (2 * r * d)</t>
        </is>
      </c>
      <c r="B66" s="56">
        <f>2*LoRA_Rank*Hidden_Dimension</f>
        <v/>
      </c>
      <c r="C66" s="49" t="inlineStr">
        <is>
          <t>The formula uses 2rd per target for every LoRA projection. GQA-narrowed K/V are actually narrower (d x d*kv/heads) and MLP projections (gate, up, down) are wider (d x ff_intermediate). At TinyLlama shapes the net error is ~28% overcount for attention-only and ~20% undercount for attention + MLP -- both dwarfed by the frozen base (adapter params are &lt;1% of base parameters).</t>
        </is>
      </c>
      <c r="D66" s="44" t="n"/>
      <c r="E66" s="44" t="n"/>
      <c r="F66" s="44" t="n"/>
      <c r="G66" s="44" t="n"/>
    </row>
    <row r="67" ht="15" customHeight="1" s="42">
      <c r="A67" s="44" t="inlineStr">
        <is>
          <t xml:space="preserve">   Total adapter parameters (n_adapter)</t>
        </is>
      </c>
      <c r="B67" s="69">
        <f>Adapter_Layers*Targets_Per_Layer*Adapter_Params_Per_Target</f>
        <v/>
      </c>
      <c r="C67" s="44" t="n"/>
      <c r="D67" s="44" t="n"/>
      <c r="E67" s="44" t="n"/>
      <c r="F67" s="44" t="n"/>
      <c r="G67" s="44" t="n"/>
    </row>
    <row r="68" ht="15" customHeight="1" s="42">
      <c r="A68" s="66" t="inlineStr">
        <is>
          <t>Overhead allowances</t>
        </is>
      </c>
      <c r="B68" s="60" t="n"/>
      <c r="C68" s="60" t="n"/>
      <c r="D68" s="60" t="n"/>
      <c r="E68" s="60" t="n"/>
      <c r="F68" s="44" t="n"/>
      <c r="G68" s="44" t="n"/>
    </row>
    <row r="69" ht="15" customHeight="1" s="42">
      <c r="A69" s="44" t="inlineStr">
        <is>
          <t xml:space="preserve">   CUDA context (GB)</t>
        </is>
      </c>
      <c r="B69" s="58" t="n">
        <v>0.6</v>
      </c>
      <c r="C69" s="49" t="inlineStr">
        <is>
          <t>Driver + kernel-library state. Invisible to torch.cuda.* memory API. Same 0.6 GB baseline as Article 1.</t>
        </is>
      </c>
      <c r="D69" s="44" t="n"/>
      <c r="E69" s="44" t="n"/>
      <c r="F69" s="44" t="n"/>
      <c r="G69" s="44" t="n"/>
    </row>
    <row r="70" ht="15" customHeight="1" s="42">
      <c r="A70" s="44" t="inlineStr">
        <is>
          <t xml:space="preserve">   Fragmentation, checkpointing off (GB)</t>
        </is>
      </c>
      <c r="B70" s="58" t="n">
        <v>1.2</v>
      </c>
      <c r="C70" s="49" t="inlineStr">
        <is>
          <t>Measured 0.79-6.52 GB across 20 non-checkpointed rows in runs/finetune-20260817-v3-finetune/results_finetune.csv. Range is narrow (1.30-1.73 GB) for baseline-adjacent configs; small at upper-N placements and wide at large batch/sequence shapes. Provisioned at 1.2 GB matching Article 1.</t>
        </is>
      </c>
      <c r="D70" s="44" t="n"/>
      <c r="E70" s="44" t="n"/>
      <c r="F70" s="44" t="n"/>
      <c r="G70" s="44" t="n"/>
    </row>
    <row r="71" ht="15" customHeight="1" s="42">
      <c r="A71" s="44" t="inlineStr">
        <is>
          <t xml:space="preserve">   Fragmentation, checkpointing on (GB)</t>
        </is>
      </c>
      <c r="B71" s="58" t="n">
        <v>5.2</v>
      </c>
      <c r="C71" s="49" t="inlineStr">
        <is>
          <t>Same 5.2 GB allowance as Article 1's training sweep. The 3 checkpointed rows in the v3 fine-tune sweep land within +/-10% of measured under this allowance.</t>
        </is>
      </c>
      <c r="D71" s="44" t="n"/>
      <c r="E71" s="44" t="n"/>
      <c r="F71" s="44" t="n"/>
      <c r="G71" s="44" t="n"/>
    </row>
    <row r="72" ht="15" customHeight="1" s="42">
      <c r="A72" s="44" t="n"/>
      <c r="B72" s="44" t="n"/>
      <c r="C72" s="44" t="n"/>
      <c r="D72" s="44" t="n"/>
      <c r="E72" s="44" t="n"/>
      <c r="F72" s="44" t="n"/>
      <c r="G72" s="44" t="n"/>
    </row>
    <row r="73" ht="15" customHeight="1" s="42">
      <c r="A73" s="66" t="inlineStr">
        <is>
          <t>Formula constants — driven by your Step 1, 2, and 3 choices</t>
        </is>
      </c>
      <c r="B73" s="60" t="n"/>
      <c r="C73" s="60" t="n"/>
      <c r="D73" s="60" t="n"/>
      <c r="E73" s="60" t="n"/>
      <c r="F73" s="44" t="n"/>
      <c r="G73" s="44" t="n"/>
    </row>
    <row r="74" ht="15" customHeight="1" s="42">
      <c r="A74" s="44" t="inlineStr">
        <is>
          <t xml:space="preserve">   Activation bytes per element</t>
        </is>
      </c>
      <c r="B74" s="56">
        <f>IF(Compute_Precision="BF16 mixed precision",2,4)</f>
        <v/>
      </c>
      <c r="C74" s="49" t="inlineStr">
        <is>
          <t>2 bytes under 16-bit compute, 4 under FP32.</t>
        </is>
      </c>
      <c r="D74" s="44" t="n"/>
      <c r="E74" s="44" t="n"/>
      <c r="F74" s="44" t="n"/>
      <c r="G74" s="44" t="n"/>
    </row>
    <row r="75" ht="15" customHeight="1" s="42">
      <c r="A75" s="44" t="inlineStr">
        <is>
          <t xml:space="preserve">   Optimizer bytes per adapter parameter</t>
        </is>
      </c>
      <c r="B75" s="56">
        <f>IF(Optimizer_Choice="8-bit Adam",2,8)</f>
        <v/>
      </c>
      <c r="C75" s="49" t="inlineStr">
        <is>
          <t>Adam: 8 bytes/param (momentum + variance in fp32). 8-bit Adam: 2 bytes/param.</t>
        </is>
      </c>
      <c r="D75" s="44" t="n"/>
      <c r="E75" s="44" t="n"/>
      <c r="F75" s="44" t="n"/>
      <c r="G75" s="44" t="n"/>
    </row>
    <row r="76" ht="15" customHeight="1" s="42">
      <c r="A76" s="44" t="inlineStr">
        <is>
          <t xml:space="preserve">   Base storage bytes per parameter</t>
        </is>
      </c>
      <c r="B76" s="70">
        <f>IF(Base_Storage_Precision="BF16 (2 bytes/param)",2,IF(Base_Storage_Precision="INT8 (1 byte/param)",1,IF(Base_Storage_Precision="INT4 (0.5 bytes/param)",0.5,4)))</f>
        <v/>
      </c>
      <c r="C76" s="49" t="inlineStr">
        <is>
          <t>From Step 1. INT8 and INT4 correspond to bitsandbytes 8-bit loading and QLoRA-style 4-bit loading.</t>
        </is>
      </c>
      <c r="D76" s="44" t="n"/>
      <c r="E76" s="44" t="n"/>
      <c r="F76" s="44" t="n"/>
      <c r="G76" s="44" t="n"/>
    </row>
    <row r="77" ht="15" customHeight="1" s="42">
      <c r="A77" s="44" t="n"/>
      <c r="B77" s="44" t="n"/>
      <c r="C77" s="44" t="n"/>
      <c r="D77" s="44" t="n"/>
      <c r="E77" s="44" t="n"/>
      <c r="F77" s="44" t="n"/>
      <c r="G77" s="44" t="n"/>
    </row>
    <row r="78" ht="18" customHeight="1" s="42">
      <c r="A78" s="46" t="inlineStr">
        <is>
          <t>WORKINGS — intermediate values. Open this to check the math or adapt the formulas; you do not need it to size a GPU.</t>
        </is>
      </c>
    </row>
    <row r="79" ht="15" customHeight="1" s="42">
      <c r="A79" s="60" t="inlineStr">
        <is>
          <t>Intermediate value</t>
        </is>
      </c>
      <c r="B79" s="60" t="inlineStr">
        <is>
          <t>Result</t>
        </is>
      </c>
      <c r="C79" s="60" t="inlineStr">
        <is>
          <t>Units</t>
        </is>
      </c>
      <c r="D79" s="60" t="inlineStr">
        <is>
          <t>Notes</t>
        </is>
      </c>
      <c r="E79" s="44" t="n"/>
      <c r="F79" s="44" t="n"/>
      <c r="G79" s="44" t="n"/>
    </row>
    <row r="80" ht="15" customHeight="1" s="42">
      <c r="A80" s="44" t="inlineStr">
        <is>
          <t>batch x seq x d, at compute bytes (bsd)</t>
        </is>
      </c>
      <c r="B80" s="56">
        <f>Batch_Size*Sequence_Length*Hidden_Dimension*Activation_Bytes_Per_Element</f>
        <v/>
      </c>
      <c r="C80" s="49" t="inlineStr">
        <is>
          <t>bytes</t>
        </is>
      </c>
      <c r="D80" s="44" t="n"/>
      <c r="E80" s="44" t="n"/>
      <c r="F80" s="44" t="n"/>
      <c r="G80" s="44" t="n"/>
    </row>
    <row r="81" ht="15" customHeight="1" s="42">
      <c r="A81" s="44" t="inlineStr">
        <is>
          <t>GQA-narrowed KV working tensor (bsd_kv)</t>
        </is>
      </c>
      <c r="B81" s="56">
        <f>Batch_Size*Sequence_Length*(Hidden_Dimension*KV_Heads/Attention_Heads)*Activation_Bytes_Per_Element</f>
        <v/>
      </c>
      <c r="C81" s="49" t="inlineStr">
        <is>
          <t>bytes</t>
        </is>
      </c>
      <c r="D81" s="44" t="n"/>
      <c r="E81" s="44" t="n"/>
      <c r="F81" s="44" t="n"/>
      <c r="G81" s="44" t="n"/>
    </row>
    <row r="82" ht="15" customHeight="1" s="42">
      <c r="A82" s="44" t="inlineStr">
        <is>
          <t>MLP hidden tensor (bsi)</t>
        </is>
      </c>
      <c r="B82" s="56">
        <f>Batch_Size*Sequence_Length*FF_Intermediate_Size*Activation_Bytes_Per_Element</f>
        <v/>
      </c>
      <c r="C82" s="49" t="inlineStr">
        <is>
          <t>bytes</t>
        </is>
      </c>
      <c r="D82" s="44" t="n"/>
      <c r="E82" s="44" t="n"/>
      <c r="F82" s="44" t="n"/>
      <c r="G82" s="44" t="n"/>
    </row>
    <row r="83" ht="27.75" customHeight="1" s="42">
      <c r="A83" s="44" t="inlineStr">
        <is>
          <t>Per-layer activation bytes, checkpointing off</t>
        </is>
      </c>
      <c r="B83" s="56">
        <f>6*Tensor_Batch_Seq_Hidden_Bytes+2*Tensor_Batch_Seq_KV_Bytes+2*Tensor_Batch_Seq_Hidden_Bytes+4*Tensor_Batch_Seq_FFIntermediate_Bytes</f>
        <v/>
      </c>
      <c r="C83" s="49" t="inlineStr">
        <is>
          <t>bytes</t>
        </is>
      </c>
      <c r="D83" s="62" t="inlineStr">
        <is>
          <t>6 attention same-shape bsd tensors (RoPE Q counted), 2 GQA-narrowed KV, 2 MLP pre-norm, 4 SwiGLU hidden. Zero dropout mask term at TinyLlama default.</t>
        </is>
      </c>
      <c r="E83" s="44" t="n"/>
      <c r="F83" s="44" t="n"/>
      <c r="G83" s="44" t="n"/>
    </row>
    <row r="84" ht="27.75" customHeight="1" s="42">
      <c r="A84" s="44" t="inlineStr">
        <is>
          <t>Once-per-model activation bytes</t>
        </is>
      </c>
      <c r="B84" s="56">
        <f>Tensor_Batch_Seq_Hidden_Bytes + Batch_Size*Sequence_Length*Output_Vocabulary*Activation_Bytes_Per_Element + IF(Compute_Precision="BF16 mixed precision",Batch_Size*Sequence_Length*Output_Vocabulary*4,0) + IF(Compute_Precision="BF16 mixed precision",2*Batch_Size*Sequence_Length*Output_Vocabulary*4,0)</f>
        <v/>
      </c>
      <c r="C84" s="49" t="inlineStr">
        <is>
          <t>bytes</t>
        </is>
      </c>
      <c r="D84" s="62" t="inlineStr">
        <is>
          <t>Embedding output + logits + fp32 upcast for CE + 2 fp32 vocab-width tensors saved by CE backward.</t>
        </is>
      </c>
      <c r="E84" s="44" t="n"/>
      <c r="F84" s="44" t="n"/>
      <c r="G84" s="44" t="n"/>
    </row>
    <row r="85" ht="27.75" customHeight="1" s="42">
      <c r="A85" s="44" t="inlineStr">
        <is>
          <t>Activations, checkpointing off</t>
        </is>
      </c>
      <c r="B85" s="56">
        <f>Per_Layer_Activation_Bytes*Adapter_Layers+Once_Per_Model_Activation_Bytes</f>
        <v/>
      </c>
      <c r="C85" s="49" t="inlineStr">
        <is>
          <t>bytes</t>
        </is>
      </c>
      <c r="D85" s="62" t="inlineStr">
        <is>
          <t>Per-layer bytes x layers-needing-backward + once-per-model. Adapter placement scales the layers term.</t>
        </is>
      </c>
      <c r="E85" s="44" t="n"/>
      <c r="F85" s="44" t="n"/>
      <c r="G85" s="44" t="n"/>
    </row>
    <row r="86" ht="27.75" customHeight="1" s="42">
      <c r="A86" s="44" t="inlineStr">
        <is>
          <t>Activations, checkpointing on</t>
        </is>
      </c>
      <c r="B86" s="56">
        <f>(Adapter_Layers+3)*Batch_Size*Sequence_Length*Hidden_Dimension*4 + 6*Tensor_Batch_Seq_Hidden_Bytes + 2*Tensor_Batch_Seq_KV_Bytes + 4*Tensor_Batch_Seq_FFIntermediate_Bytes + 0 + Batch_Size*Sequence_Length*Output_Vocabulary*Activation_Bytes_Per_Element + IF(Compute_Precision="BF16 mixed precision",2*Batch_Size*Sequence_Length*Output_Vocabulary*4,0)</f>
        <v/>
      </c>
      <c r="C86" s="49" t="inlineStr">
        <is>
          <t>bytes</t>
        </is>
      </c>
      <c r="D86" s="62" t="inlineStr">
        <is>
          <t>Saved layer boundaries are fp32 (RMSNorm + residual under autocast). Peak = boundaries + one segment's recompute working set + live logits + CE backward.</t>
        </is>
      </c>
      <c r="E86" s="44" t="n"/>
      <c r="F86" s="44" t="n"/>
      <c r="G86" s="44" t="n"/>
    </row>
    <row r="87" ht="39.75" customHeight="1" s="42">
      <c r="A87" s="44" t="inlineStr">
        <is>
          <t>cuBLAS workspace count K</t>
        </is>
      </c>
      <c r="B87" s="71">
        <f>4.316 + 1.871*Adapter_Layers</f>
        <v/>
      </c>
      <c r="C87" s="62" t="inlineStr">
        <is>
          <t>Fitted from the 2026-08-17 v3 H100 sweep: base K=4.316 + per-adapter-layer K=1.871. Each workspace buffer is bytes = batch*seq*d*4.</t>
        </is>
      </c>
      <c r="D87" s="44" t="n"/>
      <c r="E87" s="44" t="n"/>
      <c r="F87" s="44" t="n"/>
      <c r="G87" s="44" t="n"/>
    </row>
    <row r="88" ht="15" customHeight="1" s="42">
      <c r="A88" s="44" t="inlineStr">
        <is>
          <t>cuBLAS workspace bytes</t>
        </is>
      </c>
      <c r="B88" s="56">
        <f>cuBLAS_Workspace_Count*Batch_Size*Sequence_Length*Hidden_Dimension*4</f>
        <v/>
      </c>
      <c r="C88" s="49" t="inlineStr">
        <is>
          <t>bytes</t>
        </is>
      </c>
      <c r="D88" s="44" t="n"/>
      <c r="E88" s="44" t="n"/>
      <c r="F88" s="44" t="n"/>
      <c r="G88" s="44" t="n"/>
    </row>
    <row r="89" ht="27.75" customHeight="1" s="42">
      <c r="A89" s="44" t="inlineStr">
        <is>
          <t>Phase peak 1 — backward with recompute (GB)</t>
        </is>
      </c>
      <c r="B89" s="71">
        <f>Frozen_Base_Weights_GB+Adapter_Weights_GB+Adapter_Optimizer_State_GB+Activations_Ckpt_On_Bytes/1000000000+0</f>
        <v/>
      </c>
      <c r="C89" s="49" t="inlineStr">
        <is>
          <t>GB</t>
        </is>
      </c>
      <c r="D89" s="62" t="inlineStr">
        <is>
          <t>Adapter gradients haven't accumulated yet; autocast cache was freed when forward exited autocast.</t>
        </is>
      </c>
      <c r="E89" s="44" t="n"/>
      <c r="F89" s="44" t="n"/>
      <c r="G89" s="44" t="n"/>
    </row>
    <row r="90" ht="27.75" customHeight="1" s="42">
      <c r="A90" s="44" t="inlineStr">
        <is>
          <t>Phase peak 2 — optimizer step (GB)</t>
        </is>
      </c>
      <c r="B90" s="71">
        <f>Frozen_Base_Weights_GB+Adapter_Weights_GB+Adapter_Gradients_GB+Adapter_Optimizer_State_GB+IF(Optimizer_Choice="Standard Adam",Adapter_Gradients_GB,0)+0</f>
        <v/>
      </c>
      <c r="C90" s="49" t="inlineStr">
        <is>
          <t>GB</t>
        </is>
      </c>
      <c r="D90" s="62" t="inlineStr">
        <is>
          <t>Standard Adam materializes one adapter-sized set of update temporaries per group. Frozen base dominates.</t>
        </is>
      </c>
      <c r="E90" s="44" t="n"/>
      <c r="F90" s="44" t="n"/>
      <c r="G90" s="44" t="n"/>
    </row>
    <row r="91" ht="27.75" customHeight="1" s="42">
      <c r="A91" s="44" t="inlineStr">
        <is>
          <t>Phase peak 3 — forward (GB)</t>
        </is>
      </c>
      <c r="B91" s="71">
        <f>Frozen_Base_Weights_GB+Adapter_Weights_GB+Adapter_Optimizer_State_GB+Autocast_Weight_Cache_GB+Adapter_Layers*Batch_Size*Sequence_Length*Hidden_Dimension*4/1000000000+(4*Tensor_Batch_Seq_FFIntermediate_Bytes+6*Tensor_Batch_Seq_Hidden_Bytes+2*Tensor_Batch_Seq_KV_Bytes)/1000000000+Batch_Size*Sequence_Length*Output_Vocabulary*Activation_Bytes_Per_Element/1000000000+IF(Compute_Precision="BF16 mixed precision",Batch_Size*Sequence_Length*Output_Vocabulary*4/1000000000,0)+0</f>
        <v/>
      </c>
      <c r="C91" s="49" t="inlineStr">
        <is>
          <t>GB</t>
        </is>
      </c>
      <c r="D91" s="65" t="n"/>
      <c r="E91" s="44" t="n"/>
      <c r="F91" s="44" t="n"/>
      <c r="G91" s="44" t="n"/>
    </row>
    <row r="92" ht="15" customHeight="1" s="42">
      <c r="A92" s="44" t="n"/>
      <c r="B92" s="44" t="n"/>
      <c r="C92" s="44" t="n"/>
      <c r="D92" s="44" t="n"/>
      <c r="E92" s="44" t="n"/>
      <c r="F92" s="44" t="n"/>
      <c r="G92" s="44" t="n"/>
    </row>
    <row r="93" ht="15" customHeight="1" s="42">
      <c r="A93" s="44" t="inlineStr">
        <is>
          <t>One segment's forward transient (bytes)</t>
        </is>
      </c>
      <c r="B93" s="56">
        <f>4*Tensor_Batch_Seq_FFIntermediate_Bytes+6*Tensor_Batch_Seq_Hidden_Bytes+2*Tensor_Batch_Seq_KV_Bytes</f>
        <v/>
      </c>
      <c r="C93" s="49" t="inlineStr">
        <is>
          <t>bytes</t>
        </is>
      </c>
      <c r="D93" s="44" t="n"/>
      <c r="E93" s="44" t="n"/>
      <c r="F93" s="44" t="n"/>
      <c r="G93" s="44" t="n"/>
    </row>
    <row r="94" ht="15" customHeight="1" s="42">
      <c r="A94" s="44" t="n"/>
      <c r="B94" s="44" t="n"/>
      <c r="C94" s="44" t="n"/>
      <c r="D94" s="44" t="n"/>
      <c r="E94" s="44" t="n"/>
      <c r="F94" s="44" t="n"/>
      <c r="G94" s="44" t="n"/>
    </row>
    <row r="95" ht="15" customHeight="1" s="42">
      <c r="A95" s="54" t="inlineStr">
        <is>
          <t>Source for every formula on this tab: benchmark/predictions_finetune.py in odog96/gpu-sizing-playbook, validated against benchmark/reference-run/results_finetune.csv (see Validation tab).</t>
        </is>
      </c>
      <c r="B95" s="44" t="n"/>
      <c r="C95" s="44" t="n"/>
      <c r="D95" s="44" t="n"/>
      <c r="E95" s="44" t="n"/>
      <c r="F95" s="44" t="n"/>
      <c r="G95" s="44" t="n"/>
    </row>
    <row r="96" ht="15" customHeight="1" s="42">
      <c r="A96" s="54" t="inlineStr">
        <is>
          <t>Why the seven line items here differ from Article 1's four: frozen base + adapter weights are two line items (parameter count is no longer a scalar), gradients and optimizer state cover only the trainable count (&lt;1% of parameters), autocast cache collapses to an adapter-only residual, and cuBLAS workspace surfaces because it dominates the small fine-tune activation footprint.</t>
        </is>
      </c>
      <c r="B96" s="44" t="n"/>
      <c r="C96" s="44" t="n"/>
      <c r="D96" s="44" t="n"/>
      <c r="E96" s="44" t="n"/>
      <c r="F96" s="44" t="n"/>
      <c r="G96" s="44" t="n"/>
    </row>
    <row r="97" ht="15" customHeight="1" s="42">
      <c r="A97" s="44" t="n"/>
      <c r="B97" s="44" t="n"/>
      <c r="C97" s="44" t="n"/>
      <c r="D97" s="44" t="n"/>
      <c r="E97" s="44" t="n"/>
      <c r="F97" s="44" t="n"/>
      <c r="G97" s="44" t="n"/>
    </row>
    <row r="98" ht="15" customHeight="1" s="42">
      <c r="A98" s="44" t="n"/>
      <c r="B98" s="44" t="n"/>
      <c r="C98" s="44" t="n"/>
      <c r="D98" s="44" t="n"/>
      <c r="E98" s="44" t="n"/>
      <c r="F98" s="44" t="n"/>
      <c r="G98" s="44" t="n"/>
    </row>
    <row r="99" ht="15" customHeight="1" s="42">
      <c r="A99" s="44" t="n"/>
      <c r="B99" s="44" t="n"/>
      <c r="C99" s="44" t="n"/>
      <c r="D99" s="44" t="n"/>
      <c r="E99" s="44" t="n"/>
      <c r="F99" s="44" t="n"/>
      <c r="G99" s="44" t="n"/>
    </row>
  </sheetData>
  <mergeCells count="8">
    <mergeCell ref="A13:G13"/>
    <mergeCell ref="A31:G31"/>
    <mergeCell ref="A4:G4"/>
    <mergeCell ref="A78:G78"/>
    <mergeCell ref="A24:G24"/>
    <mergeCell ref="A19:G19"/>
    <mergeCell ref="A51:G51"/>
    <mergeCell ref="A37:G37"/>
  </mergeCells>
  <conditionalFormatting sqref="B7">
    <cfRule type="expression" rank="0" priority="2" equalAverage="0" aboveAverage="0" dxfId="0" text="" percent="0" bottom="0">
      <formula>LEFT($B$7,4)="FITS"</formula>
    </cfRule>
    <cfRule type="expression" rank="0" priority="3" equalAverage="0" aboveAverage="0" dxfId="1" text="" percent="0" bottom="0">
      <formula>LEFT($B$7,4)="DOES"</formula>
    </cfRule>
  </conditionalFormatting>
  <conditionalFormatting sqref="B5">
    <cfRule type="expression" rank="0" priority="4" equalAverage="0" aboveAverage="0" dxfId="1" text="" percent="0" bottom="0">
      <formula>AND($B$35&gt;0,$B$5&gt;$B$35)</formula>
    </cfRule>
    <cfRule type="expression" rank="0" priority="5" equalAverage="0" aboveAverage="0" dxfId="0" text="" percent="0" bottom="0">
      <formula>AND($B$35&gt;0,$B$5&lt;=$B$35)</formula>
    </cfRule>
  </conditionalFormatting>
  <conditionalFormatting sqref="B46">
    <cfRule type="expression" rank="0" priority="6" equalAverage="0" aboveAverage="0" dxfId="1" text="" percent="0" bottom="0">
      <formula>AND($B$35&gt;0,$B$46&gt;$B$35)</formula>
    </cfRule>
    <cfRule type="expression" rank="0" priority="7" equalAverage="0" aboveAverage="0" dxfId="0" text="" percent="0" bottom="0">
      <formula>AND($B$35&gt;0,$B$46&lt;=$B$35)</formula>
    </cfRule>
  </conditionalFormatting>
  <conditionalFormatting sqref="B48">
    <cfRule type="expression" rank="0" priority="8" equalAverage="0" aboveAverage="0" dxfId="1" text="" percent="0" bottom="0">
      <formula>AND($B$35&gt;0,$B$48&gt;$B$35)</formula>
    </cfRule>
    <cfRule type="expression" rank="0" priority="9" equalAverage="0" aboveAverage="0" dxfId="0" text="" percent="0" bottom="0">
      <formula>AND($B$35&gt;0,$B$48&lt;=$B$35)</formula>
    </cfRule>
  </conditionalFormatting>
  <conditionalFormatting sqref="B8">
    <cfRule type="expression" rank="0" priority="10" equalAverage="0" aboveAverage="0" dxfId="1" text="" percent="0" bottom="0">
      <formula>AND($B$35&gt;0,$B$8&lt;0)</formula>
    </cfRule>
  </conditionalFormatting>
  <conditionalFormatting sqref="B9">
    <cfRule type="expression" rank="0" priority="11" equalAverage="0" aboveAverage="0" dxfId="1" text="" percent="0" bottom="0">
      <formula>AND($B$35&gt;0,$B$9&gt;1)</formula>
    </cfRule>
  </conditionalFormatting>
  <conditionalFormatting sqref="B39:B45">
    <cfRule type="expression" rank="0" priority="12" equalAverage="0" aboveAverage="0" dxfId="1" text="" percent="0" bottom="0">
      <formula>AND($B$35&gt;0,B39&gt;$B$35)</formula>
    </cfRule>
  </conditionalFormatting>
  <dataValidations count="8">
    <dataValidation sqref="B17" showDropDown="0" showInputMessage="0" showErrorMessage="0" allowBlank="0" type="list" errorStyle="stop" operator="between">
      <formula1>"BF16 (2 bytes/param),INT8 (1 byte/param),INT4 (0.5 bytes/param),FP32 (4 bytes/param)"</formula1>
      <formula2>0</formula2>
    </dataValidation>
    <dataValidation sqref="B22" showDropDown="0" showInputMessage="0" showErrorMessage="0" allowBlank="0" type="list" errorStyle="stop" operator="between">
      <formula1>"BF16 mixed precision,FP32"</formula1>
      <formula2>0</formula2>
    </dataValidation>
    <dataValidation sqref="B27" showDropDown="0" showInputMessage="0" showErrorMessage="0" allowBlank="0" type="list" errorStyle="stop" operator="between">
      <formula1>"All layers,Upper-3,Upper-6,Upper-11"</formula1>
      <formula2>0</formula2>
    </dataValidation>
    <dataValidation sqref="B28" showDropDown="0" showInputMessage="0" showErrorMessage="0" allowBlank="0" type="list" errorStyle="stop" operator="between">
      <formula1>"Standard Adam,8-bit Adam"</formula1>
      <formula2>0</formula2>
    </dataValidation>
    <dataValidation sqref="B29" showDropDown="0" showInputMessage="0" showErrorMessage="0" allowBlank="0" type="list" errorStyle="stop" operator="between">
      <formula1>"Off,On"</formula1>
      <formula2>0</formula2>
    </dataValidation>
    <dataValidation sqref="B32" showDropDown="0" showInputMessage="0" showErrorMessage="0" allowBlank="0" type="list" errorStyle="stop" operator="between">
      <formula1>'GPU Capacity'!$A$5:$A$16</formula1>
      <formula2>0</formula2>
    </dataValidation>
    <dataValidation sqref="B14" showDropDown="0" showInputMessage="0" showErrorMessage="0" allowBlank="0" type="list" errorStyle="stop" operator="between">
      <formula1>'Model Presets'!$A$5:$A$10</formula1>
      <formula2>0</formula2>
    </dataValidation>
    <dataValidation sqref="B26" showDropDown="0" showInputMessage="0" showErrorMessage="0" allowBlank="0" type="list" errorStyle="stop" operator="between">
      <formula1>'Model Presets'!$A$15:$A$16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41" min="1" max="1"/>
    <col width="16" customWidth="1" style="41" min="2" max="2"/>
    <col width="10" customWidth="1" style="41" min="3" max="3"/>
    <col width="12" customWidth="1" style="41" min="4" max="5"/>
    <col width="24" customWidth="1" style="41" min="6" max="6"/>
    <col width="14" customWidth="1" style="41" min="7" max="7"/>
    <col width="20" customWidth="1" style="41" min="8" max="8"/>
    <col width="60" customWidth="1" style="41" min="9" max="9"/>
  </cols>
  <sheetData>
    <row r="1" ht="15.75" customHeight="1" s="42">
      <c r="A1" s="72" t="inlineStr">
        <is>
          <t>Architecture presets — pick a model on the Sizing Tool tab and these fill in automatically</t>
        </is>
      </c>
      <c r="B1" s="44" t="n"/>
      <c r="C1" s="44" t="n"/>
      <c r="D1" s="44" t="n"/>
      <c r="E1" s="44" t="n"/>
      <c r="F1" s="44" t="n"/>
      <c r="G1" s="44" t="n"/>
      <c r="H1" s="44" t="n"/>
      <c r="I1" s="44" t="n"/>
    </row>
    <row r="2" ht="15" customHeight="1" s="42">
      <c r="A2" s="54" t="inlineStr">
        <is>
          <t>Every model here is a LLaMA-family decoder-only transformer with GQA (grouped-query attention) and a SwiGLU MLP. You never have to know these numbers to use the tool. Override any of them in the Sizing Tool's Advanced section.</t>
        </is>
      </c>
      <c r="B2" s="44" t="n"/>
      <c r="C2" s="44" t="n"/>
      <c r="D2" s="44" t="n"/>
      <c r="E2" s="44" t="n"/>
      <c r="F2" s="44" t="n"/>
      <c r="G2" s="44" t="n"/>
      <c r="H2" s="44" t="n"/>
      <c r="I2" s="44" t="n"/>
    </row>
    <row r="3" ht="15" customHeight="1" s="42">
      <c r="A3" s="44" t="n"/>
      <c r="B3" s="44" t="n"/>
      <c r="C3" s="44" t="n"/>
      <c r="D3" s="44" t="n"/>
      <c r="E3" s="44" t="n"/>
      <c r="F3" s="44" t="n"/>
      <c r="G3" s="44" t="n"/>
      <c r="H3" s="44" t="n"/>
      <c r="I3" s="44" t="n"/>
    </row>
    <row r="4" ht="23.25" customHeight="1" s="42">
      <c r="A4" s="73" t="inlineStr">
        <is>
          <t>Preset</t>
        </is>
      </c>
      <c r="B4" s="73" t="inlineStr">
        <is>
          <t>Hidden dim (d)</t>
        </is>
      </c>
      <c r="C4" s="73" t="inlineStr">
        <is>
          <t>Layers</t>
        </is>
      </c>
      <c r="D4" s="73" t="inlineStr">
        <is>
          <t>Heads</t>
        </is>
      </c>
      <c r="E4" s="73" t="inlineStr">
        <is>
          <t>KV heads (GQA)</t>
        </is>
      </c>
      <c r="F4" s="73" t="inlineStr">
        <is>
          <t>FF intermediate size</t>
        </is>
      </c>
      <c r="G4" s="73" t="inlineStr">
        <is>
          <t>Vocabulary</t>
        </is>
      </c>
      <c r="H4" s="73" t="inlineStr">
        <is>
          <t>Base param count</t>
        </is>
      </c>
      <c r="I4" s="73" t="inlineStr">
        <is>
          <t>Source of shapes</t>
        </is>
      </c>
    </row>
    <row r="5" ht="15" customHeight="1" s="42">
      <c r="A5" s="44" t="inlineStr">
        <is>
          <t>TinyLlama-1.1B (worked model)</t>
        </is>
      </c>
      <c r="B5" s="56" t="n">
        <v>2048</v>
      </c>
      <c r="C5" s="56" t="n">
        <v>22</v>
      </c>
      <c r="D5" s="56" t="n">
        <v>32</v>
      </c>
      <c r="E5" s="56" t="n">
        <v>4</v>
      </c>
      <c r="F5" s="56" t="n">
        <v>5632</v>
      </c>
      <c r="G5" s="56" t="n">
        <v>32000</v>
      </c>
      <c r="H5" s="56" t="n">
        <v>1100048384</v>
      </c>
      <c r="I5" s="49" t="inlineStr">
        <is>
          <t>Exact architecture benchmarked in benchmark/reference-run/results_finetune.csv</t>
        </is>
      </c>
    </row>
    <row r="6" ht="15" customHeight="1" s="42">
      <c r="A6" s="44" t="inlineStr">
        <is>
          <t>LLaMA-2-7B</t>
        </is>
      </c>
      <c r="B6" s="56" t="n">
        <v>4096</v>
      </c>
      <c r="C6" s="56" t="n">
        <v>32</v>
      </c>
      <c r="D6" s="56" t="n">
        <v>32</v>
      </c>
      <c r="E6" s="56" t="n">
        <v>32</v>
      </c>
      <c r="F6" s="56" t="n">
        <v>11008</v>
      </c>
      <c r="G6" s="56" t="n">
        <v>32000</v>
      </c>
      <c r="H6" s="56" t="n">
        <v>6738415616</v>
      </c>
      <c r="I6" s="49" t="inlineStr">
        <is>
          <t>HuggingFace meta-llama/Llama-2-7b-hf config</t>
        </is>
      </c>
    </row>
    <row r="7" ht="15" customHeight="1" s="42">
      <c r="A7" s="44" t="inlineStr">
        <is>
          <t>LLaMA-3-8B</t>
        </is>
      </c>
      <c r="B7" s="56" t="n">
        <v>4096</v>
      </c>
      <c r="C7" s="56" t="n">
        <v>32</v>
      </c>
      <c r="D7" s="56" t="n">
        <v>32</v>
      </c>
      <c r="E7" s="56" t="n">
        <v>8</v>
      </c>
      <c r="F7" s="56" t="n">
        <v>14336</v>
      </c>
      <c r="G7" s="56" t="n">
        <v>128256</v>
      </c>
      <c r="H7" s="56" t="n">
        <v>8030261248</v>
      </c>
      <c r="I7" s="49" t="inlineStr">
        <is>
          <t>HuggingFace meta-llama/Meta-Llama-3-8B config</t>
        </is>
      </c>
    </row>
    <row r="8" ht="15" customHeight="1" s="42">
      <c r="A8" s="44" t="inlineStr">
        <is>
          <t>Mistral-7B-v0.1</t>
        </is>
      </c>
      <c r="B8" s="56" t="n">
        <v>4096</v>
      </c>
      <c r="C8" s="56" t="n">
        <v>32</v>
      </c>
      <c r="D8" s="56" t="n">
        <v>32</v>
      </c>
      <c r="E8" s="56" t="n">
        <v>8</v>
      </c>
      <c r="F8" s="56" t="n">
        <v>14336</v>
      </c>
      <c r="G8" s="56" t="n">
        <v>32000</v>
      </c>
      <c r="H8" s="56" t="n">
        <v>7241732096</v>
      </c>
      <c r="I8" s="49" t="inlineStr">
        <is>
          <t>HuggingFace mistralai/Mistral-7B-v0.1 config</t>
        </is>
      </c>
    </row>
    <row r="9" ht="15" customHeight="1" s="42">
      <c r="A9" s="44" t="inlineStr">
        <is>
          <t>LLaMA-2-13B</t>
        </is>
      </c>
      <c r="B9" s="56" t="n">
        <v>5120</v>
      </c>
      <c r="C9" s="56" t="n">
        <v>40</v>
      </c>
      <c r="D9" s="56" t="n">
        <v>40</v>
      </c>
      <c r="E9" s="56" t="n">
        <v>40</v>
      </c>
      <c r="F9" s="56" t="n">
        <v>13824</v>
      </c>
      <c r="G9" s="56" t="n">
        <v>32000</v>
      </c>
      <c r="H9" s="56" t="n">
        <v>13015864320</v>
      </c>
      <c r="I9" s="49" t="inlineStr">
        <is>
          <t>HuggingFace meta-llama/Llama-2-13b-hf config</t>
        </is>
      </c>
    </row>
    <row r="10" ht="15" customHeight="1" s="42">
      <c r="A10" s="44" t="inlineStr">
        <is>
          <t>LLaMA-2-70B</t>
        </is>
      </c>
      <c r="B10" s="56" t="n">
        <v>8192</v>
      </c>
      <c r="C10" s="56" t="n">
        <v>80</v>
      </c>
      <c r="D10" s="56" t="n">
        <v>64</v>
      </c>
      <c r="E10" s="56" t="n">
        <v>8</v>
      </c>
      <c r="F10" s="56" t="n">
        <v>28672</v>
      </c>
      <c r="G10" s="56" t="n">
        <v>32000</v>
      </c>
      <c r="H10" s="56" t="n">
        <v>68976648192</v>
      </c>
      <c r="I10" s="49" t="inlineStr">
        <is>
          <t>HuggingFace meta-llama/Llama-2-70b-hf config</t>
        </is>
      </c>
    </row>
    <row r="11" ht="15" customHeight="1" s="42">
      <c r="A11" s="44" t="n"/>
      <c r="B11" s="44" t="n"/>
      <c r="C11" s="44" t="n"/>
      <c r="D11" s="44" t="n"/>
      <c r="E11" s="44" t="n"/>
      <c r="F11" s="44" t="n"/>
      <c r="G11" s="44" t="n"/>
      <c r="H11" s="44" t="n"/>
      <c r="I11" s="44" t="n"/>
    </row>
    <row r="12" ht="15" customHeight="1" s="42">
      <c r="A12" s="54" t="inlineStr">
        <is>
          <t>Only TinyLlama-1.1B has direct benchmark validation. The other five are predictions-only — the formula extrapolates cleanly (adapter parameter count, cuBLAS count, autocast cache all scale from these shapes) but no measured evidence yet at these sizes.</t>
        </is>
      </c>
      <c r="B12" s="44" t="n"/>
      <c r="C12" s="44" t="n"/>
      <c r="D12" s="44" t="n"/>
      <c r="E12" s="44" t="n"/>
      <c r="F12" s="44" t="n"/>
      <c r="G12" s="44" t="n"/>
      <c r="H12" s="44" t="n"/>
      <c r="I12" s="44" t="n"/>
    </row>
    <row r="14" ht="15" customHeight="1" s="42">
      <c r="A14" s="74" t="inlineStr">
        <is>
          <t>Dropdown list — adapter targets per layer (referenced by the Sizing Tool tab; do not edit)</t>
        </is>
      </c>
      <c r="B14" s="75" t="n"/>
      <c r="C14" s="75" t="n"/>
      <c r="D14" s="75" t="n"/>
      <c r="E14" s="75" t="n"/>
      <c r="F14" s="75" t="n"/>
      <c r="G14" s="75" t="n"/>
      <c r="H14" s="75" t="n"/>
      <c r="I14" s="75" t="n"/>
    </row>
    <row r="15" ht="15" customHeight="1" s="42">
      <c r="A15" s="44" t="inlineStr">
        <is>
          <t>Attention (Q, K, V, O)</t>
        </is>
      </c>
    </row>
    <row r="16" ht="15" customHeight="1" s="42">
      <c r="A16" s="44" t="inlineStr">
        <is>
          <t>Attention + MLP (Q, K, V, O, gate, up, down)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41" min="1" max="1"/>
    <col width="20" customWidth="1" style="41" min="2" max="2"/>
    <col width="26" customWidth="1" style="41" min="3" max="3"/>
    <col width="68" customWidth="1" style="41" min="4" max="4"/>
  </cols>
  <sheetData>
    <row r="1" ht="15.75" customHeight="1" s="42">
      <c r="A1" s="72" t="inlineStr">
        <is>
          <t>GPU usable capacity</t>
        </is>
      </c>
      <c r="B1" s="44" t="n"/>
      <c r="C1" s="44" t="n"/>
      <c r="D1" s="44" t="n"/>
    </row>
    <row r="2" ht="15" customHeight="1" s="42">
      <c r="A2" s="54" t="inlineStr">
        <is>
          <t>Units are decimal GB (1 GB = 1,000,000,000 bytes) throughout this workbook, matching benchmark/predictions_finetune.py. A card's advertised size in GiB is converted here to decimal GB and reduced by ~1% for driver reserve.</t>
        </is>
      </c>
      <c r="B2" s="44" t="n"/>
      <c r="C2" s="44" t="n"/>
      <c r="D2" s="44" t="n"/>
    </row>
    <row r="3" ht="15" customHeight="1" s="42">
      <c r="A3" s="44" t="n"/>
      <c r="B3" s="44" t="n"/>
      <c r="C3" s="44" t="n"/>
      <c r="D3" s="44" t="n"/>
    </row>
    <row r="4" ht="23.25" customHeight="1" s="42">
      <c r="A4" s="73" t="inlineStr">
        <is>
          <t>GPU</t>
        </is>
      </c>
      <c r="B4" s="73" t="inlineStr">
        <is>
          <t>Advertised size (GiB)</t>
        </is>
      </c>
      <c r="C4" s="73" t="inlineStr">
        <is>
          <t>Usable capacity (GB, decimal)</t>
        </is>
      </c>
      <c r="D4" s="73" t="inlineStr">
        <is>
          <t>Basis</t>
        </is>
      </c>
    </row>
    <row r="5" ht="15" customHeight="1" s="42">
      <c r="A5" s="44" t="inlineStr">
        <is>
          <t>NVIDIA H100 80GB</t>
        </is>
      </c>
      <c r="B5" s="56" t="n">
        <v>80</v>
      </c>
      <c r="C5" s="59">
        <f>79.18*1024^3/1000000000</f>
        <v/>
      </c>
      <c r="D5" s="49" t="inlineStr">
        <is>
          <t>Measured — torch reported 79.18 GiB usable in the fine-tune sweep's OOM messages</t>
        </is>
      </c>
    </row>
    <row r="6" ht="15" customHeight="1" s="42">
      <c r="A6" s="44" t="inlineStr">
        <is>
          <t>NVIDIA A100 80GB</t>
        </is>
      </c>
      <c r="B6" s="56" t="n">
        <v>80</v>
      </c>
      <c r="C6" s="59">
        <f>79.18*1024^3/1000000000</f>
        <v/>
      </c>
      <c r="D6" s="49" t="inlineStr">
        <is>
          <t>Estimated — same 80 GiB class as the measured H100 row above</t>
        </is>
      </c>
    </row>
    <row r="7" ht="15" customHeight="1" s="42">
      <c r="A7" s="44" t="inlineStr">
        <is>
          <t>NVIDIA A100 40GB</t>
        </is>
      </c>
      <c r="B7" s="56" t="n">
        <v>40</v>
      </c>
      <c r="C7" s="59">
        <f>B7*1024^3/1000000000*0.99</f>
        <v/>
      </c>
      <c r="D7" s="49" t="inlineStr">
        <is>
          <t>Estimated — advertised size less 1% for driver reserve</t>
        </is>
      </c>
    </row>
    <row r="8" ht="15" customHeight="1" s="42">
      <c r="A8" s="44" t="inlineStr">
        <is>
          <t>NVIDIA L40S 48GB</t>
        </is>
      </c>
      <c r="B8" s="56" t="n">
        <v>48</v>
      </c>
      <c r="C8" s="59">
        <f>B8*1024^3/1000000000*0.99</f>
        <v/>
      </c>
      <c r="D8" s="49" t="inlineStr">
        <is>
          <t>Estimated — advertised size less 1% for driver reserve</t>
        </is>
      </c>
    </row>
    <row r="9" ht="15" customHeight="1" s="42">
      <c r="A9" s="44" t="inlineStr">
        <is>
          <t>NVIDIA RTX PRO 6000 Blackwell 96GB</t>
        </is>
      </c>
      <c r="B9" s="56" t="n">
        <v>96</v>
      </c>
      <c r="C9" s="59">
        <f>B9*1024^3/1000000000*0.99</f>
        <v/>
      </c>
      <c r="D9" s="49" t="inlineStr">
        <is>
          <t>Estimated — advertised size less 1% for driver reserve</t>
        </is>
      </c>
    </row>
    <row r="10" ht="15" customHeight="1" s="42">
      <c r="A10" s="44" t="inlineStr">
        <is>
          <t>NVIDIA A10G 24GB</t>
        </is>
      </c>
      <c r="B10" s="56" t="n">
        <v>24</v>
      </c>
      <c r="C10" s="59">
        <f>B10*1024^3/1000000000*0.99</f>
        <v/>
      </c>
      <c r="D10" s="49" t="inlineStr">
        <is>
          <t>Estimated — advertised size less 1% for driver reserve</t>
        </is>
      </c>
    </row>
    <row r="11" ht="15" customHeight="1" s="42">
      <c r="A11" s="44" t="inlineStr">
        <is>
          <t>NVIDIA RTX 4090 24GB</t>
        </is>
      </c>
      <c r="B11" s="56" t="n">
        <v>24</v>
      </c>
      <c r="C11" s="59">
        <f>B11*1024^3/1000000000*0.99</f>
        <v/>
      </c>
      <c r="D11" s="49" t="inlineStr">
        <is>
          <t>Estimated — advertised size less 1% for driver reserve</t>
        </is>
      </c>
    </row>
    <row r="12" ht="15" customHeight="1" s="42">
      <c r="A12" s="44" t="inlineStr">
        <is>
          <t>NVIDIA H200 141GB</t>
        </is>
      </c>
      <c r="B12" s="56" t="n">
        <v>141</v>
      </c>
      <c r="C12" s="59">
        <f>B12*1024^3/1000000000*0.99</f>
        <v/>
      </c>
      <c r="D12" s="49" t="inlineStr">
        <is>
          <t>Estimated — advertised size less 1% for driver reserve</t>
        </is>
      </c>
    </row>
    <row r="13" ht="15" customHeight="1" s="42">
      <c r="A13" s="44" t="inlineStr">
        <is>
          <t>NVIDIA B200 180GB</t>
        </is>
      </c>
      <c r="B13" s="56" t="n">
        <v>180</v>
      </c>
      <c r="C13" s="59">
        <f>B13*1024^3/1000000000*0.99</f>
        <v/>
      </c>
      <c r="D13" s="49" t="inlineStr">
        <is>
          <t>Estimated — advertised size less 1% for driver reserve</t>
        </is>
      </c>
    </row>
    <row r="14" ht="15" customHeight="1" s="42">
      <c r="A14" s="44" t="inlineStr">
        <is>
          <t>NVIDIA H100 NVL 94GB</t>
        </is>
      </c>
      <c r="B14" s="56" t="n">
        <v>94</v>
      </c>
      <c r="C14" s="59">
        <f>B14*1024^3/1000000000*0.99</f>
        <v/>
      </c>
      <c r="D14" s="49" t="inlineStr">
        <is>
          <t>Estimated — advertised size less 1% for driver reserve</t>
        </is>
      </c>
    </row>
    <row r="15" ht="15" customHeight="1" s="42">
      <c r="A15" s="44" t="inlineStr">
        <is>
          <t>NVIDIA RTX 6000 Ada 48GB</t>
        </is>
      </c>
      <c r="B15" s="56" t="n">
        <v>48</v>
      </c>
      <c r="C15" s="59">
        <f>B15*1024^3/1000000000*0.99</f>
        <v/>
      </c>
      <c r="D15" s="49" t="inlineStr">
        <is>
          <t>Estimated — advertised size less 1% for driver reserve</t>
        </is>
      </c>
    </row>
    <row r="16" ht="15" customHeight="1" s="42">
      <c r="A16" s="44" t="inlineStr">
        <is>
          <t>Other — use the override cell on the Sizing Tool tab</t>
        </is>
      </c>
      <c r="B16" s="56" t="n">
        <v>0</v>
      </c>
      <c r="C16" s="59">
        <f>0</f>
        <v/>
      </c>
      <c r="D16" s="49" t="inlineStr">
        <is>
          <t>Enter your own usable capacity on the Sizing Tool tab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V33"/>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18" customWidth="1" style="41" min="1" max="1"/>
    <col width="14" customWidth="1" style="41" min="2" max="2"/>
    <col width="30" customWidth="1" style="41" min="3" max="3"/>
    <col width="16" customWidth="1" style="41" min="4" max="4"/>
    <col width="15" customWidth="1" style="41" min="5" max="5"/>
    <col width="34" customWidth="1" style="41" min="6" max="6"/>
    <col width="16" customWidth="1" style="41" min="7" max="7"/>
    <col width="15" customWidth="1" style="41" min="8" max="9"/>
    <col width="12" customWidth="1" style="41" min="10" max="11"/>
    <col width="13" customWidth="1" style="41" min="12" max="12"/>
    <col width="15" customWidth="1" style="41" min="13" max="48"/>
  </cols>
  <sheetData>
    <row r="1" ht="15.75" customHeight="1" s="42">
      <c r="A1" s="72" t="inlineStr">
        <is>
          <t>Validation — the same formulas, run against the v3 H100 fine-tune sweep</t>
        </is>
      </c>
      <c r="B1" s="44" t="n"/>
      <c r="C1" s="44" t="n"/>
      <c r="D1" s="44" t="n"/>
      <c r="E1" s="44" t="n"/>
      <c r="F1" s="44" t="n"/>
      <c r="G1" s="44" t="n"/>
      <c r="H1" s="44" t="n"/>
      <c r="I1" s="44" t="n"/>
      <c r="J1" s="44" t="n"/>
      <c r="K1" s="44" t="n"/>
      <c r="L1" s="44" t="n"/>
      <c r="M1" s="44" t="n"/>
      <c r="N1" s="44" t="n"/>
      <c r="O1" s="44" t="n"/>
      <c r="P1" s="44" t="n"/>
      <c r="Q1" s="44" t="n"/>
      <c r="R1" s="44" t="n"/>
      <c r="S1" s="44" t="n"/>
      <c r="T1" s="44" t="n"/>
      <c r="U1" s="44" t="n"/>
      <c r="V1" s="44" t="n"/>
      <c r="W1" s="44" t="n"/>
      <c r="X1" s="44" t="n"/>
      <c r="Y1" s="44" t="n"/>
      <c r="Z1" s="44" t="n"/>
      <c r="AA1" s="44" t="n"/>
      <c r="AB1" s="44" t="n"/>
      <c r="AC1" s="44" t="n"/>
      <c r="AD1" s="44" t="n"/>
      <c r="AE1" s="44" t="n"/>
      <c r="AF1" s="44" t="n"/>
      <c r="AG1" s="44" t="n"/>
      <c r="AH1" s="44" t="n"/>
      <c r="AI1" s="44" t="n"/>
      <c r="AJ1" s="44" t="n"/>
      <c r="AK1" s="44" t="n"/>
      <c r="AL1" s="44" t="n"/>
      <c r="AM1" s="44" t="n"/>
      <c r="AN1" s="44" t="n"/>
      <c r="AO1" s="44" t="n"/>
      <c r="AP1" s="44" t="n"/>
      <c r="AQ1" s="44" t="n"/>
      <c r="AR1" s="44" t="n"/>
      <c r="AS1" s="44" t="n"/>
      <c r="AT1" s="44" t="n"/>
      <c r="AU1" s="44" t="n"/>
      <c r="AV1" s="44" t="n"/>
    </row>
    <row r="2" ht="15" customHeight="1" s="42">
      <c r="A2" s="54" t="inlineStr">
        <is>
          <t>Every prediction column is computed by benchmark/predictions_finetune.py; measured columns come from runs/finetune-20260817-v3-finetune/results_finetune.csv. All 23 non-OOM rows land within +/-10% of measured max_allocated; the 2 boundary OOM misses are reported honestly, following Article 1's precedent.</t>
        </is>
      </c>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c r="AA2" s="44" t="n"/>
      <c r="AB2" s="44" t="n"/>
      <c r="AC2" s="44" t="n"/>
      <c r="AD2" s="44" t="n"/>
      <c r="AE2" s="44" t="n"/>
      <c r="AF2" s="44" t="n"/>
      <c r="AG2" s="44" t="n"/>
      <c r="AH2" s="44" t="n"/>
      <c r="AI2" s="44" t="n"/>
      <c r="AJ2" s="44" t="n"/>
      <c r="AK2" s="44" t="n"/>
      <c r="AL2" s="44" t="n"/>
      <c r="AM2" s="44" t="n"/>
      <c r="AN2" s="44" t="n"/>
      <c r="AO2" s="44" t="n"/>
      <c r="AP2" s="44" t="n"/>
      <c r="AQ2" s="44" t="n"/>
      <c r="AR2" s="44" t="n"/>
      <c r="AS2" s="44" t="n"/>
      <c r="AT2" s="44" t="n"/>
      <c r="AU2" s="44" t="n"/>
      <c r="AV2" s="44" t="n"/>
    </row>
    <row r="3" ht="15" customHeight="1" s="42">
      <c r="A3" s="54" t="inlineStr">
        <is>
          <t>Every column on this tab is imported verbatim from benchmark/reference-run-finetune/results_finetune.csv — nothing here is recalculated by the workbook.</t>
        </is>
      </c>
      <c r="B3" s="63" t="inlineStr">
        <is>
          <t>Usable capacity used for the OOM call (GB):</t>
        </is>
      </c>
      <c r="C3" s="58">
        <f>79.18*1024^3/1000000000</f>
        <v/>
      </c>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c r="AA3" s="44" t="n"/>
      <c r="AB3" s="44" t="n"/>
      <c r="AC3" s="44" t="n"/>
      <c r="AD3" s="44" t="n"/>
      <c r="AE3" s="44" t="n"/>
      <c r="AF3" s="44" t="n"/>
      <c r="AG3" s="44" t="n"/>
      <c r="AH3" s="44" t="n"/>
      <c r="AI3" s="44" t="n"/>
      <c r="AJ3" s="44" t="n"/>
      <c r="AK3" s="44" t="n"/>
      <c r="AL3" s="44" t="n"/>
      <c r="AM3" s="44" t="n"/>
      <c r="AN3" s="44" t="n"/>
      <c r="AO3" s="44" t="n"/>
      <c r="AP3" s="44" t="n"/>
      <c r="AQ3" s="44" t="n"/>
      <c r="AR3" s="44" t="n"/>
      <c r="AS3" s="44" t="n"/>
      <c r="AT3" s="44" t="n"/>
      <c r="AU3" s="44" t="n"/>
      <c r="AV3" s="44" t="n"/>
    </row>
    <row r="4" ht="15" customHeight="1" s="42">
      <c r="A4" s="44" t="n"/>
      <c r="B4" s="44" t="n"/>
      <c r="C4" s="44" t="n"/>
      <c r="D4" s="44" t="n"/>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c r="AA4" s="44" t="n"/>
      <c r="AB4" s="44" t="n"/>
      <c r="AC4" s="44" t="n"/>
      <c r="AD4" s="44" t="n"/>
      <c r="AE4" s="44" t="n"/>
      <c r="AF4" s="44" t="n"/>
      <c r="AG4" s="44" t="n"/>
      <c r="AH4" s="44" t="n"/>
      <c r="AI4" s="44" t="n"/>
      <c r="AJ4" s="44" t="n"/>
      <c r="AK4" s="44" t="n"/>
      <c r="AL4" s="44" t="n"/>
      <c r="AM4" s="44" t="n"/>
      <c r="AN4" s="44" t="n"/>
      <c r="AO4" s="44" t="n"/>
      <c r="AP4" s="44" t="n"/>
      <c r="AQ4" s="44" t="n"/>
      <c r="AR4" s="44" t="n"/>
      <c r="AS4" s="44" t="n"/>
      <c r="AT4" s="44" t="n"/>
      <c r="AU4" s="44" t="n"/>
      <c r="AV4" s="44" t="n"/>
    </row>
    <row r="5" ht="45.75" customHeight="1" s="42">
      <c r="A5" s="76" t="inlineStr">
        <is>
          <t>lever</t>
        </is>
      </c>
      <c r="B5" s="76" t="inlineStr">
        <is>
          <t>lever_value</t>
        </is>
      </c>
      <c r="C5" s="76" t="inlineStr">
        <is>
          <t>base_model_name</t>
        </is>
      </c>
      <c r="D5" s="76" t="inlineStr">
        <is>
          <t>base_storage_precision</t>
        </is>
      </c>
      <c r="E5" s="76" t="inlineStr">
        <is>
          <t>lora_rank</t>
        </is>
      </c>
      <c r="F5" s="76" t="inlineStr">
        <is>
          <t>lora_target_modules</t>
        </is>
      </c>
      <c r="G5" s="76" t="inlineStr">
        <is>
          <t>lora_adapter_layers</t>
        </is>
      </c>
      <c r="H5" s="76" t="inlineStr">
        <is>
          <t>batch</t>
        </is>
      </c>
      <c r="I5" s="76" t="inlineStr">
        <is>
          <t>seq_len</t>
        </is>
      </c>
      <c r="J5" s="76" t="inlineStr">
        <is>
          <t>precision</t>
        </is>
      </c>
      <c r="K5" s="76" t="inlineStr">
        <is>
          <t>optimizer</t>
        </is>
      </c>
      <c r="L5" s="76" t="inlineStr">
        <is>
          <t>checkpointing</t>
        </is>
      </c>
      <c r="M5" s="76" t="inlineStr">
        <is>
          <t>steps</t>
        </is>
      </c>
      <c r="N5" s="76" t="inlineStr">
        <is>
          <t>hidden_size</t>
        </is>
      </c>
      <c r="O5" s="76" t="inlineStr">
        <is>
          <t>num_hidden_layers</t>
        </is>
      </c>
      <c r="P5" s="76" t="inlineStr">
        <is>
          <t>num_attention_heads</t>
        </is>
      </c>
      <c r="Q5" s="76" t="inlineStr">
        <is>
          <t>num_key_value_heads</t>
        </is>
      </c>
      <c r="R5" s="76" t="inlineStr">
        <is>
          <t>intermediate_size</t>
        </is>
      </c>
      <c r="S5" s="76" t="inlineStr">
        <is>
          <t>vocab_size</t>
        </is>
      </c>
      <c r="T5" s="76" t="inlineStr">
        <is>
          <t>n_frozen_params</t>
        </is>
      </c>
      <c r="U5" s="76" t="inlineStr">
        <is>
          <t>n_trainable_params</t>
        </is>
      </c>
      <c r="V5" s="76" t="inlineStr">
        <is>
          <t>n_layers_needing_backward</t>
        </is>
      </c>
      <c r="W5" s="76" t="inlineStr">
        <is>
          <t>predicted_frozen_weights_gb</t>
        </is>
      </c>
      <c r="X5" s="76" t="inlineStr">
        <is>
          <t>predicted_adapter_weights_gb</t>
        </is>
      </c>
      <c r="Y5" s="76" t="inlineStr">
        <is>
          <t>predicted_gradients_gb</t>
        </is>
      </c>
      <c r="Z5" s="76" t="inlineStr">
        <is>
          <t>predicted_optimizer_gb</t>
        </is>
      </c>
      <c r="AA5" s="76" t="inlineStr">
        <is>
          <t>predicted_autocast_weight_cache_gb</t>
        </is>
      </c>
      <c r="AB5" s="76" t="inlineStr">
        <is>
          <t>predicted_activations_gb</t>
        </is>
      </c>
      <c r="AC5" s="76" t="inlineStr">
        <is>
          <t>predicted_allocated_gb</t>
        </is>
      </c>
      <c r="AD5" s="76" t="inlineStr">
        <is>
          <t>predicted_reserved_gb</t>
        </is>
      </c>
      <c r="AE5" s="76" t="inlineStr">
        <is>
          <t>predicted_oom</t>
        </is>
      </c>
      <c r="AF5" s="76" t="inlineStr">
        <is>
          <t>oom</t>
        </is>
      </c>
      <c r="AG5" s="76" t="inlineStr">
        <is>
          <t>max_allocated_gb</t>
        </is>
      </c>
      <c r="AH5" s="76" t="inlineStr">
        <is>
          <t>max_reserved_gb</t>
        </is>
      </c>
      <c r="AI5" s="76" t="inlineStr">
        <is>
          <t>ratio</t>
        </is>
      </c>
      <c r="AJ5" s="76" t="inlineStr">
        <is>
          <t>measured_param_bytes</t>
        </is>
      </c>
      <c r="AK5" s="76" t="inlineStr">
        <is>
          <t>measured_frozen_param_bytes</t>
        </is>
      </c>
      <c r="AL5" s="76" t="inlineStr">
        <is>
          <t>measured_trainable_param_bytes</t>
        </is>
      </c>
      <c r="AM5" s="76" t="inlineStr">
        <is>
          <t>measured_grad_bytes</t>
        </is>
      </c>
      <c r="AN5" s="76" t="inlineStr">
        <is>
          <t>measured_optimizer_bytes</t>
        </is>
      </c>
      <c r="AO5" s="76" t="inlineStr">
        <is>
          <t>alloc_after_model_gb</t>
        </is>
      </c>
      <c r="AP5" s="76" t="inlineStr">
        <is>
          <t>alloc_after_optimizer_gb</t>
        </is>
      </c>
      <c r="AQ5" s="76" t="inlineStr">
        <is>
          <t>peak_forward_gb</t>
        </is>
      </c>
      <c r="AR5" s="76" t="inlineStr">
        <is>
          <t>measured_activations_gb</t>
        </is>
      </c>
      <c r="AS5" s="76" t="inlineStr">
        <is>
          <t>wall_time_s</t>
        </is>
      </c>
      <c r="AT5" s="76" t="inlineStr">
        <is>
          <t>step_time_mean_ms</t>
        </is>
      </c>
      <c r="AU5" s="76" t="inlineStr">
        <is>
          <t>step_time_median_ms</t>
        </is>
      </c>
      <c r="AV5" s="76" t="inlineStr">
        <is>
          <t>final_loss</t>
        </is>
      </c>
    </row>
    <row r="6" ht="15" customHeight="1" s="42">
      <c r="A6" s="77" t="inlineStr">
        <is>
          <t>baseline</t>
        </is>
      </c>
      <c r="B6" s="77" t="inlineStr">
        <is>
          <t>baseline</t>
        </is>
      </c>
      <c r="C6" s="77" t="inlineStr">
        <is>
          <t>TinyLlama/TinyLlama-1.1B-intermediate-step-1431k-3T</t>
        </is>
      </c>
      <c r="D6" s="77" t="inlineStr">
        <is>
          <t>bf16</t>
        </is>
      </c>
      <c r="E6" s="78" t="n">
        <v>8</v>
      </c>
      <c r="F6" s="77" t="inlineStr">
        <is>
          <t>q_proj|k_proj|v_proj|o_proj|gate_proj|up_proj|down_proj</t>
        </is>
      </c>
      <c r="G6" s="77" t="inlineStr">
        <is>
          <t>all</t>
        </is>
      </c>
      <c r="H6" s="78" t="n">
        <v>8</v>
      </c>
      <c r="I6" s="78" t="n">
        <v>512</v>
      </c>
      <c r="J6" s="77" t="inlineStr">
        <is>
          <t>amp_bf16</t>
        </is>
      </c>
      <c r="K6" s="77" t="inlineStr">
        <is>
          <t>adam</t>
        </is>
      </c>
      <c r="L6" s="77" t="inlineStr">
        <is>
          <t>False</t>
        </is>
      </c>
      <c r="M6" s="78" t="n">
        <v>7</v>
      </c>
      <c r="N6" s="78" t="n">
        <v>2048</v>
      </c>
      <c r="O6" s="78" t="n">
        <v>22</v>
      </c>
      <c r="P6" s="78" t="n">
        <v>32</v>
      </c>
      <c r="Q6" s="78" t="n">
        <v>4</v>
      </c>
      <c r="R6" s="78" t="n">
        <v>5632</v>
      </c>
      <c r="S6" s="78" t="n">
        <v>32000</v>
      </c>
      <c r="T6" s="78" t="n">
        <v>1100048384</v>
      </c>
      <c r="U6" s="78" t="n">
        <v>6307840</v>
      </c>
      <c r="V6" s="78" t="n">
        <v>22</v>
      </c>
      <c r="W6" s="79" t="n">
        <v>2.2001</v>
      </c>
      <c r="X6" s="79" t="n">
        <v>0.0252</v>
      </c>
      <c r="Y6" s="79" t="n">
        <v>0.0252</v>
      </c>
      <c r="Z6" s="79" t="n">
        <v>0.0505</v>
      </c>
      <c r="AA6" s="79" t="n">
        <v>0.0126</v>
      </c>
      <c r="AB6" s="79" t="n">
        <v>8.956899999999999</v>
      </c>
      <c r="AC6" s="79" t="n">
        <v>12.7966</v>
      </c>
      <c r="AD6" s="79" t="n">
        <v>14.5966</v>
      </c>
      <c r="AE6" s="77" t="inlineStr">
        <is>
          <t>False</t>
        </is>
      </c>
      <c r="AF6" s="77" t="inlineStr">
        <is>
          <t>False</t>
        </is>
      </c>
      <c r="AG6" s="79" t="n">
        <v>12.7966</v>
      </c>
      <c r="AH6" s="79" t="n">
        <v>14.4934</v>
      </c>
      <c r="AI6" s="79" t="n">
        <v>1</v>
      </c>
      <c r="AJ6" s="78" t="n">
        <v>2225328128</v>
      </c>
      <c r="AK6" s="78" t="n">
        <v>2200096768</v>
      </c>
      <c r="AL6" s="78" t="n">
        <v>25231360</v>
      </c>
      <c r="AM6" s="78" t="n">
        <v>25231360</v>
      </c>
      <c r="AN6" s="78" t="n">
        <v>50463952</v>
      </c>
      <c r="AO6" s="79" t="n">
        <v>2.2274</v>
      </c>
      <c r="AP6" s="79" t="n">
        <v>2.7247</v>
      </c>
      <c r="AQ6" s="79" t="n">
        <v>12.6437</v>
      </c>
      <c r="AR6" s="79" t="n">
        <v>10.0719</v>
      </c>
      <c r="AS6" s="79" t="n">
        <v>5.93</v>
      </c>
      <c r="AT6" s="79" t="n">
        <v>108.303</v>
      </c>
      <c r="AU6" s="79" t="n">
        <v>108.299</v>
      </c>
      <c r="AV6" s="79" t="n">
        <v>11.4606</v>
      </c>
    </row>
    <row r="7" ht="15" customHeight="1" s="42">
      <c r="A7" s="77" t="inlineStr">
        <is>
          <t>batch_size</t>
        </is>
      </c>
      <c r="B7" s="77" t="n">
        <v>4</v>
      </c>
      <c r="C7" s="77" t="inlineStr">
        <is>
          <t>TinyLlama/TinyLlama-1.1B-intermediate-step-1431k-3T</t>
        </is>
      </c>
      <c r="D7" s="77" t="inlineStr">
        <is>
          <t>bf16</t>
        </is>
      </c>
      <c r="E7" s="78" t="n">
        <v>8</v>
      </c>
      <c r="F7" s="77" t="inlineStr">
        <is>
          <t>q_proj|k_proj|v_proj|o_proj|gate_proj|up_proj|down_proj</t>
        </is>
      </c>
      <c r="G7" s="77" t="inlineStr">
        <is>
          <t>all</t>
        </is>
      </c>
      <c r="H7" s="78" t="n">
        <v>4</v>
      </c>
      <c r="I7" s="78" t="n">
        <v>512</v>
      </c>
      <c r="J7" s="77" t="inlineStr">
        <is>
          <t>amp_bf16</t>
        </is>
      </c>
      <c r="K7" s="77" t="inlineStr">
        <is>
          <t>adam</t>
        </is>
      </c>
      <c r="L7" s="77" t="inlineStr">
        <is>
          <t>False</t>
        </is>
      </c>
      <c r="M7" s="78" t="n">
        <v>7</v>
      </c>
      <c r="N7" s="78" t="n">
        <v>2048</v>
      </c>
      <c r="O7" s="78" t="n">
        <v>22</v>
      </c>
      <c r="P7" s="78" t="n">
        <v>32</v>
      </c>
      <c r="Q7" s="78" t="n">
        <v>4</v>
      </c>
      <c r="R7" s="78" t="n">
        <v>5632</v>
      </c>
      <c r="S7" s="78" t="n">
        <v>32000</v>
      </c>
      <c r="T7" s="78" t="n">
        <v>1100048384</v>
      </c>
      <c r="U7" s="78" t="n">
        <v>6307840</v>
      </c>
      <c r="V7" s="78" t="n">
        <v>22</v>
      </c>
      <c r="W7" s="79" t="n">
        <v>2.2001</v>
      </c>
      <c r="X7" s="79" t="n">
        <v>0.0252</v>
      </c>
      <c r="Y7" s="79" t="n">
        <v>0.0252</v>
      </c>
      <c r="Z7" s="79" t="n">
        <v>0.0505</v>
      </c>
      <c r="AA7" s="79" t="n">
        <v>0.0126</v>
      </c>
      <c r="AB7" s="79" t="n">
        <v>4.4785</v>
      </c>
      <c r="AC7" s="79" t="n">
        <v>7.5551</v>
      </c>
      <c r="AD7" s="79" t="n">
        <v>9.3551</v>
      </c>
      <c r="AE7" s="77" t="inlineStr">
        <is>
          <t>False</t>
        </is>
      </c>
      <c r="AF7" s="77" t="inlineStr">
        <is>
          <t>False</t>
        </is>
      </c>
      <c r="AG7" s="79" t="n">
        <v>7.5782</v>
      </c>
      <c r="AH7" s="79" t="n">
        <v>8.785</v>
      </c>
      <c r="AI7" s="79" t="n">
        <v>1.003</v>
      </c>
      <c r="AJ7" s="78" t="n">
        <v>2225328128</v>
      </c>
      <c r="AK7" s="78" t="n">
        <v>2200096768</v>
      </c>
      <c r="AL7" s="78" t="n">
        <v>25231360</v>
      </c>
      <c r="AM7" s="78" t="n">
        <v>25231360</v>
      </c>
      <c r="AN7" s="78" t="n">
        <v>50463952</v>
      </c>
      <c r="AO7" s="79" t="n">
        <v>2.2274</v>
      </c>
      <c r="AP7" s="79" t="n">
        <v>2.5485</v>
      </c>
      <c r="AQ7" s="79" t="n">
        <v>7.5018</v>
      </c>
      <c r="AR7" s="79" t="n">
        <v>5.0297</v>
      </c>
      <c r="AS7" s="79" t="n">
        <v>5.539</v>
      </c>
      <c r="AT7" s="79" t="n">
        <v>76.29300000000001</v>
      </c>
      <c r="AU7" s="79" t="n">
        <v>76.11499999999999</v>
      </c>
      <c r="AV7" s="79" t="n">
        <v>11.4613</v>
      </c>
    </row>
    <row r="8" ht="15" customHeight="1" s="42">
      <c r="A8" s="77" t="inlineStr">
        <is>
          <t>batch_size</t>
        </is>
      </c>
      <c r="B8" s="77" t="n">
        <v>8</v>
      </c>
      <c r="C8" s="77" t="inlineStr">
        <is>
          <t>TinyLlama/TinyLlama-1.1B-intermediate-step-1431k-3T</t>
        </is>
      </c>
      <c r="D8" s="77" t="inlineStr">
        <is>
          <t>bf16</t>
        </is>
      </c>
      <c r="E8" s="78" t="n">
        <v>8</v>
      </c>
      <c r="F8" s="77" t="inlineStr">
        <is>
          <t>q_proj|k_proj|v_proj|o_proj|gate_proj|up_proj|down_proj</t>
        </is>
      </c>
      <c r="G8" s="77" t="inlineStr">
        <is>
          <t>all</t>
        </is>
      </c>
      <c r="H8" s="78" t="n">
        <v>8</v>
      </c>
      <c r="I8" s="78" t="n">
        <v>512</v>
      </c>
      <c r="J8" s="77" t="inlineStr">
        <is>
          <t>amp_bf16</t>
        </is>
      </c>
      <c r="K8" s="77" t="inlineStr">
        <is>
          <t>adam</t>
        </is>
      </c>
      <c r="L8" s="77" t="inlineStr">
        <is>
          <t>False</t>
        </is>
      </c>
      <c r="M8" s="78" t="n">
        <v>7</v>
      </c>
      <c r="N8" s="78" t="n">
        <v>2048</v>
      </c>
      <c r="O8" s="78" t="n">
        <v>22</v>
      </c>
      <c r="P8" s="78" t="n">
        <v>32</v>
      </c>
      <c r="Q8" s="78" t="n">
        <v>4</v>
      </c>
      <c r="R8" s="78" t="n">
        <v>5632</v>
      </c>
      <c r="S8" s="78" t="n">
        <v>32000</v>
      </c>
      <c r="T8" s="78" t="n">
        <v>1100048384</v>
      </c>
      <c r="U8" s="78" t="n">
        <v>6307840</v>
      </c>
      <c r="V8" s="78" t="n">
        <v>22</v>
      </c>
      <c r="W8" s="79" t="n">
        <v>2.2001</v>
      </c>
      <c r="X8" s="79" t="n">
        <v>0.0252</v>
      </c>
      <c r="Y8" s="79" t="n">
        <v>0.0252</v>
      </c>
      <c r="Z8" s="79" t="n">
        <v>0.0505</v>
      </c>
      <c r="AA8" s="79" t="n">
        <v>0.0126</v>
      </c>
      <c r="AB8" s="79" t="n">
        <v>8.956899999999999</v>
      </c>
      <c r="AC8" s="79" t="n">
        <v>12.7966</v>
      </c>
      <c r="AD8" s="79" t="n">
        <v>14.5966</v>
      </c>
      <c r="AE8" s="77" t="inlineStr">
        <is>
          <t>False</t>
        </is>
      </c>
      <c r="AF8" s="77" t="inlineStr">
        <is>
          <t>False</t>
        </is>
      </c>
      <c r="AG8" s="79" t="n">
        <v>12.7966</v>
      </c>
      <c r="AH8" s="79" t="n">
        <v>14.4934</v>
      </c>
      <c r="AI8" s="79" t="n">
        <v>1</v>
      </c>
      <c r="AJ8" s="78" t="n">
        <v>2225328128</v>
      </c>
      <c r="AK8" s="78" t="n">
        <v>2200096768</v>
      </c>
      <c r="AL8" s="78" t="n">
        <v>25231360</v>
      </c>
      <c r="AM8" s="78" t="n">
        <v>25231360</v>
      </c>
      <c r="AN8" s="78" t="n">
        <v>50463952</v>
      </c>
      <c r="AO8" s="79" t="n">
        <v>2.2274</v>
      </c>
      <c r="AP8" s="79" t="n">
        <v>2.7247</v>
      </c>
      <c r="AQ8" s="79" t="n">
        <v>12.6437</v>
      </c>
      <c r="AR8" s="79" t="n">
        <v>10.0719</v>
      </c>
      <c r="AS8" s="79" t="n">
        <v>5.898</v>
      </c>
      <c r="AT8" s="79" t="n">
        <v>108.858</v>
      </c>
      <c r="AU8" s="79" t="n">
        <v>108.843</v>
      </c>
      <c r="AV8" s="79" t="n">
        <v>11.4605</v>
      </c>
    </row>
    <row r="9" ht="15" customHeight="1" s="42">
      <c r="A9" s="77" t="inlineStr">
        <is>
          <t>batch_size</t>
        </is>
      </c>
      <c r="B9" s="77" t="n">
        <v>16</v>
      </c>
      <c r="C9" s="77" t="inlineStr">
        <is>
          <t>TinyLlama/TinyLlama-1.1B-intermediate-step-1431k-3T</t>
        </is>
      </c>
      <c r="D9" s="77" t="inlineStr">
        <is>
          <t>bf16</t>
        </is>
      </c>
      <c r="E9" s="78" t="n">
        <v>8</v>
      </c>
      <c r="F9" s="77" t="inlineStr">
        <is>
          <t>q_proj|k_proj|v_proj|o_proj|gate_proj|up_proj|down_proj</t>
        </is>
      </c>
      <c r="G9" s="77" t="inlineStr">
        <is>
          <t>all</t>
        </is>
      </c>
      <c r="H9" s="78" t="n">
        <v>16</v>
      </c>
      <c r="I9" s="78" t="n">
        <v>512</v>
      </c>
      <c r="J9" s="77" t="inlineStr">
        <is>
          <t>amp_bf16</t>
        </is>
      </c>
      <c r="K9" s="77" t="inlineStr">
        <is>
          <t>adam</t>
        </is>
      </c>
      <c r="L9" s="77" t="inlineStr">
        <is>
          <t>False</t>
        </is>
      </c>
      <c r="M9" s="78" t="n">
        <v>7</v>
      </c>
      <c r="N9" s="78" t="n">
        <v>2048</v>
      </c>
      <c r="O9" s="78" t="n">
        <v>22</v>
      </c>
      <c r="P9" s="78" t="n">
        <v>32</v>
      </c>
      <c r="Q9" s="78" t="n">
        <v>4</v>
      </c>
      <c r="R9" s="78" t="n">
        <v>5632</v>
      </c>
      <c r="S9" s="78" t="n">
        <v>32000</v>
      </c>
      <c r="T9" s="78" t="n">
        <v>1100048384</v>
      </c>
      <c r="U9" s="78" t="n">
        <v>6307840</v>
      </c>
      <c r="V9" s="78" t="n">
        <v>22</v>
      </c>
      <c r="W9" s="79" t="n">
        <v>2.2001</v>
      </c>
      <c r="X9" s="79" t="n">
        <v>0.0252</v>
      </c>
      <c r="Y9" s="79" t="n">
        <v>0.0252</v>
      </c>
      <c r="Z9" s="79" t="n">
        <v>0.0505</v>
      </c>
      <c r="AA9" s="79" t="n">
        <v>0.0126</v>
      </c>
      <c r="AB9" s="79" t="n">
        <v>17.9139</v>
      </c>
      <c r="AC9" s="79" t="n">
        <v>23.2795</v>
      </c>
      <c r="AD9" s="79" t="n">
        <v>25.0795</v>
      </c>
      <c r="AE9" s="77" t="inlineStr">
        <is>
          <t>False</t>
        </is>
      </c>
      <c r="AF9" s="77" t="inlineStr">
        <is>
          <t>False</t>
        </is>
      </c>
      <c r="AG9" s="79" t="n">
        <v>23.2356</v>
      </c>
      <c r="AH9" s="79" t="n">
        <v>26.5332</v>
      </c>
      <c r="AI9" s="79" t="n">
        <v>0.998</v>
      </c>
      <c r="AJ9" s="78" t="n">
        <v>2225328128</v>
      </c>
      <c r="AK9" s="78" t="n">
        <v>2200096768</v>
      </c>
      <c r="AL9" s="78" t="n">
        <v>25231360</v>
      </c>
      <c r="AM9" s="78" t="n">
        <v>25231360</v>
      </c>
      <c r="AN9" s="78" t="n">
        <v>50463952</v>
      </c>
      <c r="AO9" s="79" t="n">
        <v>2.2274</v>
      </c>
      <c r="AP9" s="79" t="n">
        <v>3.0792</v>
      </c>
      <c r="AQ9" s="79" t="n">
        <v>22.9297</v>
      </c>
      <c r="AR9" s="79" t="n">
        <v>20.1564</v>
      </c>
      <c r="AS9" s="79" t="n">
        <v>6.522</v>
      </c>
      <c r="AT9" s="79" t="n">
        <v>206.22</v>
      </c>
      <c r="AU9" s="79" t="n">
        <v>206.228</v>
      </c>
      <c r="AV9" s="79" t="n">
        <v>11.4325</v>
      </c>
    </row>
    <row r="10" ht="15" customHeight="1" s="42">
      <c r="A10" s="77" t="inlineStr">
        <is>
          <t>batch_size</t>
        </is>
      </c>
      <c r="B10" s="77" t="n">
        <v>32</v>
      </c>
      <c r="C10" s="77" t="inlineStr">
        <is>
          <t>TinyLlama/TinyLlama-1.1B-intermediate-step-1431k-3T</t>
        </is>
      </c>
      <c r="D10" s="77" t="inlineStr">
        <is>
          <t>bf16</t>
        </is>
      </c>
      <c r="E10" s="78" t="n">
        <v>8</v>
      </c>
      <c r="F10" s="77" t="inlineStr">
        <is>
          <t>q_proj|k_proj|v_proj|o_proj|gate_proj|up_proj|down_proj</t>
        </is>
      </c>
      <c r="G10" s="77" t="inlineStr">
        <is>
          <t>all</t>
        </is>
      </c>
      <c r="H10" s="78" t="n">
        <v>32</v>
      </c>
      <c r="I10" s="78" t="n">
        <v>512</v>
      </c>
      <c r="J10" s="77" t="inlineStr">
        <is>
          <t>amp_bf16</t>
        </is>
      </c>
      <c r="K10" s="77" t="inlineStr">
        <is>
          <t>adam</t>
        </is>
      </c>
      <c r="L10" s="77" t="inlineStr">
        <is>
          <t>False</t>
        </is>
      </c>
      <c r="M10" s="78" t="n">
        <v>7</v>
      </c>
      <c r="N10" s="78" t="n">
        <v>2048</v>
      </c>
      <c r="O10" s="78" t="n">
        <v>22</v>
      </c>
      <c r="P10" s="78" t="n">
        <v>32</v>
      </c>
      <c r="Q10" s="78" t="n">
        <v>4</v>
      </c>
      <c r="R10" s="78" t="n">
        <v>5632</v>
      </c>
      <c r="S10" s="78" t="n">
        <v>32000</v>
      </c>
      <c r="T10" s="78" t="n">
        <v>1100048384</v>
      </c>
      <c r="U10" s="78" t="n">
        <v>6307840</v>
      </c>
      <c r="V10" s="78" t="n">
        <v>22</v>
      </c>
      <c r="W10" s="79" t="n">
        <v>2.2001</v>
      </c>
      <c r="X10" s="79" t="n">
        <v>0.0252</v>
      </c>
      <c r="Y10" s="79" t="n">
        <v>0.0252</v>
      </c>
      <c r="Z10" s="79" t="n">
        <v>0.0505</v>
      </c>
      <c r="AA10" s="79" t="n">
        <v>0.0126</v>
      </c>
      <c r="AB10" s="79" t="n">
        <v>35.8277</v>
      </c>
      <c r="AC10" s="79" t="n">
        <v>44.2453</v>
      </c>
      <c r="AD10" s="79" t="n">
        <v>46.0453</v>
      </c>
      <c r="AE10" s="77" t="inlineStr">
        <is>
          <t>False</t>
        </is>
      </c>
      <c r="AF10" s="77" t="inlineStr">
        <is>
          <t>False</t>
        </is>
      </c>
      <c r="AG10" s="79" t="n">
        <v>44.1135</v>
      </c>
      <c r="AH10" s="79" t="n">
        <v>50.6378</v>
      </c>
      <c r="AI10" s="79" t="n">
        <v>0.997</v>
      </c>
      <c r="AJ10" s="78" t="n">
        <v>2225328128</v>
      </c>
      <c r="AK10" s="78" t="n">
        <v>2200096768</v>
      </c>
      <c r="AL10" s="78" t="n">
        <v>25231360</v>
      </c>
      <c r="AM10" s="78" t="n">
        <v>25231360</v>
      </c>
      <c r="AN10" s="78" t="n">
        <v>50463952</v>
      </c>
      <c r="AO10" s="79" t="n">
        <v>2.2274</v>
      </c>
      <c r="AP10" s="79" t="n">
        <v>3.7882</v>
      </c>
      <c r="AQ10" s="79" t="n">
        <v>43.5015</v>
      </c>
      <c r="AR10" s="79" t="n">
        <v>40.3254</v>
      </c>
      <c r="AS10" s="79" t="n">
        <v>8.095000000000001</v>
      </c>
      <c r="AT10" s="79" t="n">
        <v>391.175</v>
      </c>
      <c r="AU10" s="79" t="n">
        <v>391.169</v>
      </c>
      <c r="AV10" s="79" t="n">
        <v>11.4263</v>
      </c>
    </row>
    <row r="11" ht="15" customHeight="1" s="42">
      <c r="A11" s="77" t="inlineStr">
        <is>
          <t>seq_len</t>
        </is>
      </c>
      <c r="B11" s="77" t="n">
        <v>256</v>
      </c>
      <c r="C11" s="77" t="inlineStr">
        <is>
          <t>TinyLlama/TinyLlama-1.1B-intermediate-step-1431k-3T</t>
        </is>
      </c>
      <c r="D11" s="77" t="inlineStr">
        <is>
          <t>bf16</t>
        </is>
      </c>
      <c r="E11" s="78" t="n">
        <v>8</v>
      </c>
      <c r="F11" s="77" t="inlineStr">
        <is>
          <t>q_proj|k_proj|v_proj|o_proj|gate_proj|up_proj|down_proj</t>
        </is>
      </c>
      <c r="G11" s="77" t="inlineStr">
        <is>
          <t>all</t>
        </is>
      </c>
      <c r="H11" s="78" t="n">
        <v>8</v>
      </c>
      <c r="I11" s="78" t="n">
        <v>256</v>
      </c>
      <c r="J11" s="77" t="inlineStr">
        <is>
          <t>amp_bf16</t>
        </is>
      </c>
      <c r="K11" s="77" t="inlineStr">
        <is>
          <t>adam</t>
        </is>
      </c>
      <c r="L11" s="77" t="inlineStr">
        <is>
          <t>False</t>
        </is>
      </c>
      <c r="M11" s="78" t="n">
        <v>7</v>
      </c>
      <c r="N11" s="78" t="n">
        <v>2048</v>
      </c>
      <c r="O11" s="78" t="n">
        <v>22</v>
      </c>
      <c r="P11" s="78" t="n">
        <v>32</v>
      </c>
      <c r="Q11" s="78" t="n">
        <v>4</v>
      </c>
      <c r="R11" s="78" t="n">
        <v>5632</v>
      </c>
      <c r="S11" s="78" t="n">
        <v>32000</v>
      </c>
      <c r="T11" s="78" t="n">
        <v>1100048384</v>
      </c>
      <c r="U11" s="78" t="n">
        <v>6307840</v>
      </c>
      <c r="V11" s="78" t="n">
        <v>22</v>
      </c>
      <c r="W11" s="79" t="n">
        <v>2.2001</v>
      </c>
      <c r="X11" s="79" t="n">
        <v>0.0252</v>
      </c>
      <c r="Y11" s="79" t="n">
        <v>0.0252</v>
      </c>
      <c r="Z11" s="79" t="n">
        <v>0.0505</v>
      </c>
      <c r="AA11" s="79" t="n">
        <v>0.0126</v>
      </c>
      <c r="AB11" s="79" t="n">
        <v>4.4785</v>
      </c>
      <c r="AC11" s="79" t="n">
        <v>7.5551</v>
      </c>
      <c r="AD11" s="79" t="n">
        <v>9.3551</v>
      </c>
      <c r="AE11" s="77" t="inlineStr">
        <is>
          <t>False</t>
        </is>
      </c>
      <c r="AF11" s="77" t="inlineStr">
        <is>
          <t>False</t>
        </is>
      </c>
      <c r="AG11" s="79" t="n">
        <v>7.5781</v>
      </c>
      <c r="AH11" s="79" t="n">
        <v>8.785</v>
      </c>
      <c r="AI11" s="79" t="n">
        <v>1.003</v>
      </c>
      <c r="AJ11" s="78" t="n">
        <v>2225328128</v>
      </c>
      <c r="AK11" s="78" t="n">
        <v>2200096768</v>
      </c>
      <c r="AL11" s="78" t="n">
        <v>25231360</v>
      </c>
      <c r="AM11" s="78" t="n">
        <v>25231360</v>
      </c>
      <c r="AN11" s="78" t="n">
        <v>50463952</v>
      </c>
      <c r="AO11" s="79" t="n">
        <v>2.2274</v>
      </c>
      <c r="AP11" s="79" t="n">
        <v>2.5485</v>
      </c>
      <c r="AQ11" s="79" t="n">
        <v>7.5017</v>
      </c>
      <c r="AR11" s="79" t="n">
        <v>5.0296</v>
      </c>
      <c r="AS11" s="79" t="n">
        <v>5.679</v>
      </c>
      <c r="AT11" s="79" t="n">
        <v>78.471</v>
      </c>
      <c r="AU11" s="79" t="n">
        <v>78.67400000000001</v>
      </c>
      <c r="AV11" s="79" t="n">
        <v>11.5837</v>
      </c>
    </row>
    <row r="12" ht="15" customHeight="1" s="42">
      <c r="A12" s="77" t="inlineStr">
        <is>
          <t>seq_len</t>
        </is>
      </c>
      <c r="B12" s="77" t="n">
        <v>512</v>
      </c>
      <c r="C12" s="77" t="inlineStr">
        <is>
          <t>TinyLlama/TinyLlama-1.1B-intermediate-step-1431k-3T</t>
        </is>
      </c>
      <c r="D12" s="77" t="inlineStr">
        <is>
          <t>bf16</t>
        </is>
      </c>
      <c r="E12" s="78" t="n">
        <v>8</v>
      </c>
      <c r="F12" s="77" t="inlineStr">
        <is>
          <t>q_proj|k_proj|v_proj|o_proj|gate_proj|up_proj|down_proj</t>
        </is>
      </c>
      <c r="G12" s="77" t="inlineStr">
        <is>
          <t>all</t>
        </is>
      </c>
      <c r="H12" s="78" t="n">
        <v>8</v>
      </c>
      <c r="I12" s="78" t="n">
        <v>512</v>
      </c>
      <c r="J12" s="77" t="inlineStr">
        <is>
          <t>amp_bf16</t>
        </is>
      </c>
      <c r="K12" s="77" t="inlineStr">
        <is>
          <t>adam</t>
        </is>
      </c>
      <c r="L12" s="77" t="inlineStr">
        <is>
          <t>False</t>
        </is>
      </c>
      <c r="M12" s="78" t="n">
        <v>7</v>
      </c>
      <c r="N12" s="78" t="n">
        <v>2048</v>
      </c>
      <c r="O12" s="78" t="n">
        <v>22</v>
      </c>
      <c r="P12" s="78" t="n">
        <v>32</v>
      </c>
      <c r="Q12" s="78" t="n">
        <v>4</v>
      </c>
      <c r="R12" s="78" t="n">
        <v>5632</v>
      </c>
      <c r="S12" s="78" t="n">
        <v>32000</v>
      </c>
      <c r="T12" s="78" t="n">
        <v>1100048384</v>
      </c>
      <c r="U12" s="78" t="n">
        <v>6307840</v>
      </c>
      <c r="V12" s="78" t="n">
        <v>22</v>
      </c>
      <c r="W12" s="79" t="n">
        <v>2.2001</v>
      </c>
      <c r="X12" s="79" t="n">
        <v>0.0252</v>
      </c>
      <c r="Y12" s="79" t="n">
        <v>0.0252</v>
      </c>
      <c r="Z12" s="79" t="n">
        <v>0.0505</v>
      </c>
      <c r="AA12" s="79" t="n">
        <v>0.0126</v>
      </c>
      <c r="AB12" s="79" t="n">
        <v>8.956899999999999</v>
      </c>
      <c r="AC12" s="79" t="n">
        <v>12.7966</v>
      </c>
      <c r="AD12" s="79" t="n">
        <v>14.5966</v>
      </c>
      <c r="AE12" s="77" t="inlineStr">
        <is>
          <t>False</t>
        </is>
      </c>
      <c r="AF12" s="77" t="inlineStr">
        <is>
          <t>False</t>
        </is>
      </c>
      <c r="AG12" s="79" t="n">
        <v>12.7966</v>
      </c>
      <c r="AH12" s="79" t="n">
        <v>14.4934</v>
      </c>
      <c r="AI12" s="79" t="n">
        <v>1</v>
      </c>
      <c r="AJ12" s="78" t="n">
        <v>2225328128</v>
      </c>
      <c r="AK12" s="78" t="n">
        <v>2200096768</v>
      </c>
      <c r="AL12" s="78" t="n">
        <v>25231360</v>
      </c>
      <c r="AM12" s="78" t="n">
        <v>25231360</v>
      </c>
      <c r="AN12" s="78" t="n">
        <v>50463952</v>
      </c>
      <c r="AO12" s="79" t="n">
        <v>2.2274</v>
      </c>
      <c r="AP12" s="79" t="n">
        <v>2.7247</v>
      </c>
      <c r="AQ12" s="79" t="n">
        <v>12.6437</v>
      </c>
      <c r="AR12" s="79" t="n">
        <v>10.0719</v>
      </c>
      <c r="AS12" s="79" t="n">
        <v>5.878</v>
      </c>
      <c r="AT12" s="79" t="n">
        <v>108.281</v>
      </c>
      <c r="AU12" s="79" t="n">
        <v>108.29</v>
      </c>
      <c r="AV12" s="79" t="n">
        <v>11.4603</v>
      </c>
    </row>
    <row r="13" ht="15" customHeight="1" s="42">
      <c r="A13" s="77" t="inlineStr">
        <is>
          <t>seq_len</t>
        </is>
      </c>
      <c r="B13" s="77" t="n">
        <v>1024</v>
      </c>
      <c r="C13" s="77" t="inlineStr">
        <is>
          <t>TinyLlama/TinyLlama-1.1B-intermediate-step-1431k-3T</t>
        </is>
      </c>
      <c r="D13" s="77" t="inlineStr">
        <is>
          <t>bf16</t>
        </is>
      </c>
      <c r="E13" s="78" t="n">
        <v>8</v>
      </c>
      <c r="F13" s="77" t="inlineStr">
        <is>
          <t>q_proj|k_proj|v_proj|o_proj|gate_proj|up_proj|down_proj</t>
        </is>
      </c>
      <c r="G13" s="77" t="inlineStr">
        <is>
          <t>all</t>
        </is>
      </c>
      <c r="H13" s="78" t="n">
        <v>8</v>
      </c>
      <c r="I13" s="78" t="n">
        <v>1024</v>
      </c>
      <c r="J13" s="77" t="inlineStr">
        <is>
          <t>amp_bf16</t>
        </is>
      </c>
      <c r="K13" s="77" t="inlineStr">
        <is>
          <t>adam</t>
        </is>
      </c>
      <c r="L13" s="77" t="inlineStr">
        <is>
          <t>False</t>
        </is>
      </c>
      <c r="M13" s="78" t="n">
        <v>7</v>
      </c>
      <c r="N13" s="78" t="n">
        <v>2048</v>
      </c>
      <c r="O13" s="78" t="n">
        <v>22</v>
      </c>
      <c r="P13" s="78" t="n">
        <v>32</v>
      </c>
      <c r="Q13" s="78" t="n">
        <v>4</v>
      </c>
      <c r="R13" s="78" t="n">
        <v>5632</v>
      </c>
      <c r="S13" s="78" t="n">
        <v>32000</v>
      </c>
      <c r="T13" s="78" t="n">
        <v>1100048384</v>
      </c>
      <c r="U13" s="78" t="n">
        <v>6307840</v>
      </c>
      <c r="V13" s="78" t="n">
        <v>22</v>
      </c>
      <c r="W13" s="79" t="n">
        <v>2.2001</v>
      </c>
      <c r="X13" s="79" t="n">
        <v>0.0252</v>
      </c>
      <c r="Y13" s="79" t="n">
        <v>0.0252</v>
      </c>
      <c r="Z13" s="79" t="n">
        <v>0.0505</v>
      </c>
      <c r="AA13" s="79" t="n">
        <v>0.0126</v>
      </c>
      <c r="AB13" s="79" t="n">
        <v>17.9139</v>
      </c>
      <c r="AC13" s="79" t="n">
        <v>23.2795</v>
      </c>
      <c r="AD13" s="79" t="n">
        <v>25.0795</v>
      </c>
      <c r="AE13" s="77" t="inlineStr">
        <is>
          <t>False</t>
        </is>
      </c>
      <c r="AF13" s="77" t="inlineStr">
        <is>
          <t>False</t>
        </is>
      </c>
      <c r="AG13" s="79" t="n">
        <v>23.2357</v>
      </c>
      <c r="AH13" s="79" t="n">
        <v>26.5353</v>
      </c>
      <c r="AI13" s="79" t="n">
        <v>0.998</v>
      </c>
      <c r="AJ13" s="78" t="n">
        <v>2225328128</v>
      </c>
      <c r="AK13" s="78" t="n">
        <v>2200096768</v>
      </c>
      <c r="AL13" s="78" t="n">
        <v>25231360</v>
      </c>
      <c r="AM13" s="78" t="n">
        <v>25231360</v>
      </c>
      <c r="AN13" s="78" t="n">
        <v>50463952</v>
      </c>
      <c r="AO13" s="79" t="n">
        <v>2.2274</v>
      </c>
      <c r="AP13" s="79" t="n">
        <v>3.0792</v>
      </c>
      <c r="AQ13" s="79" t="n">
        <v>22.9298</v>
      </c>
      <c r="AR13" s="79" t="n">
        <v>20.1565</v>
      </c>
      <c r="AS13" s="79" t="n">
        <v>6.564</v>
      </c>
      <c r="AT13" s="79" t="n">
        <v>208.197</v>
      </c>
      <c r="AU13" s="79" t="n">
        <v>208.197</v>
      </c>
      <c r="AV13" s="79" t="n">
        <v>11.3545</v>
      </c>
    </row>
    <row r="14" ht="15" customHeight="1" s="42">
      <c r="A14" s="77" t="inlineStr">
        <is>
          <t>seq_len</t>
        </is>
      </c>
      <c r="B14" s="77" t="n">
        <v>2048</v>
      </c>
      <c r="C14" s="77" t="inlineStr">
        <is>
          <t>TinyLlama/TinyLlama-1.1B-intermediate-step-1431k-3T</t>
        </is>
      </c>
      <c r="D14" s="77" t="inlineStr">
        <is>
          <t>bf16</t>
        </is>
      </c>
      <c r="E14" s="78" t="n">
        <v>8</v>
      </c>
      <c r="F14" s="77" t="inlineStr">
        <is>
          <t>q_proj|k_proj|v_proj|o_proj|gate_proj|up_proj|down_proj</t>
        </is>
      </c>
      <c r="G14" s="77" t="inlineStr">
        <is>
          <t>all</t>
        </is>
      </c>
      <c r="H14" s="78" t="n">
        <v>8</v>
      </c>
      <c r="I14" s="78" t="n">
        <v>2048</v>
      </c>
      <c r="J14" s="77" t="inlineStr">
        <is>
          <t>amp_bf16</t>
        </is>
      </c>
      <c r="K14" s="77" t="inlineStr">
        <is>
          <t>adam</t>
        </is>
      </c>
      <c r="L14" s="77" t="inlineStr">
        <is>
          <t>False</t>
        </is>
      </c>
      <c r="M14" s="78" t="n">
        <v>7</v>
      </c>
      <c r="N14" s="78" t="n">
        <v>2048</v>
      </c>
      <c r="O14" s="78" t="n">
        <v>22</v>
      </c>
      <c r="P14" s="78" t="n">
        <v>32</v>
      </c>
      <c r="Q14" s="78" t="n">
        <v>4</v>
      </c>
      <c r="R14" s="78" t="n">
        <v>5632</v>
      </c>
      <c r="S14" s="78" t="n">
        <v>32000</v>
      </c>
      <c r="T14" s="78" t="n">
        <v>1100048384</v>
      </c>
      <c r="U14" s="78" t="n">
        <v>6307840</v>
      </c>
      <c r="V14" s="78" t="n">
        <v>22</v>
      </c>
      <c r="W14" s="79" t="n">
        <v>2.2001</v>
      </c>
      <c r="X14" s="79" t="n">
        <v>0.0252</v>
      </c>
      <c r="Y14" s="79" t="n">
        <v>0.0252</v>
      </c>
      <c r="Z14" s="79" t="n">
        <v>0.0505</v>
      </c>
      <c r="AA14" s="79" t="n">
        <v>0.0126</v>
      </c>
      <c r="AB14" s="79" t="n">
        <v>35.8277</v>
      </c>
      <c r="AC14" s="79" t="n">
        <v>44.2453</v>
      </c>
      <c r="AD14" s="79" t="n">
        <v>46.0453</v>
      </c>
      <c r="AE14" s="77" t="inlineStr">
        <is>
          <t>False</t>
        </is>
      </c>
      <c r="AF14" s="77" t="inlineStr">
        <is>
          <t>False</t>
        </is>
      </c>
      <c r="AG14" s="79" t="n">
        <v>44.1139</v>
      </c>
      <c r="AH14" s="79" t="n">
        <v>50.6378</v>
      </c>
      <c r="AI14" s="79" t="n">
        <v>0.997</v>
      </c>
      <c r="AJ14" s="78" t="n">
        <v>2225328128</v>
      </c>
      <c r="AK14" s="78" t="n">
        <v>2200096768</v>
      </c>
      <c r="AL14" s="78" t="n">
        <v>25231360</v>
      </c>
      <c r="AM14" s="78" t="n">
        <v>25231360</v>
      </c>
      <c r="AN14" s="78" t="n">
        <v>50463952</v>
      </c>
      <c r="AO14" s="79" t="n">
        <v>2.2274</v>
      </c>
      <c r="AP14" s="79" t="n">
        <v>3.7882</v>
      </c>
      <c r="AQ14" s="79" t="n">
        <v>43.5019</v>
      </c>
      <c r="AR14" s="79" t="n">
        <v>40.3258</v>
      </c>
      <c r="AS14" s="79" t="n">
        <v>8.175000000000001</v>
      </c>
      <c r="AT14" s="79" t="n">
        <v>408.248</v>
      </c>
      <c r="AU14" s="79" t="n">
        <v>408.247</v>
      </c>
      <c r="AV14" s="79" t="n">
        <v>11.3208</v>
      </c>
    </row>
    <row r="15" ht="15" customHeight="1" s="42">
      <c r="A15" s="77" t="inlineStr">
        <is>
          <t>lora_rank</t>
        </is>
      </c>
      <c r="B15" s="77" t="n">
        <v>4</v>
      </c>
      <c r="C15" s="77" t="inlineStr">
        <is>
          <t>TinyLlama/TinyLlama-1.1B-intermediate-step-1431k-3T</t>
        </is>
      </c>
      <c r="D15" s="77" t="inlineStr">
        <is>
          <t>bf16</t>
        </is>
      </c>
      <c r="E15" s="78" t="n">
        <v>4</v>
      </c>
      <c r="F15" s="77" t="inlineStr">
        <is>
          <t>q_proj|k_proj|v_proj|o_proj|gate_proj|up_proj|down_proj</t>
        </is>
      </c>
      <c r="G15" s="77" t="inlineStr">
        <is>
          <t>all</t>
        </is>
      </c>
      <c r="H15" s="78" t="n">
        <v>8</v>
      </c>
      <c r="I15" s="78" t="n">
        <v>512</v>
      </c>
      <c r="J15" s="77" t="inlineStr">
        <is>
          <t>amp_bf16</t>
        </is>
      </c>
      <c r="K15" s="77" t="inlineStr">
        <is>
          <t>adam</t>
        </is>
      </c>
      <c r="L15" s="77" t="inlineStr">
        <is>
          <t>False</t>
        </is>
      </c>
      <c r="M15" s="78" t="n">
        <v>7</v>
      </c>
      <c r="N15" s="78" t="n">
        <v>2048</v>
      </c>
      <c r="O15" s="78" t="n">
        <v>22</v>
      </c>
      <c r="P15" s="78" t="n">
        <v>32</v>
      </c>
      <c r="Q15" s="78" t="n">
        <v>4</v>
      </c>
      <c r="R15" s="78" t="n">
        <v>5632</v>
      </c>
      <c r="S15" s="78" t="n">
        <v>32000</v>
      </c>
      <c r="T15" s="78" t="n">
        <v>1100048384</v>
      </c>
      <c r="U15" s="78" t="n">
        <v>3153920</v>
      </c>
      <c r="V15" s="78" t="n">
        <v>22</v>
      </c>
      <c r="W15" s="79" t="n">
        <v>2.2001</v>
      </c>
      <c r="X15" s="79" t="n">
        <v>0.0126</v>
      </c>
      <c r="Y15" s="79" t="n">
        <v>0.0126</v>
      </c>
      <c r="Z15" s="79" t="n">
        <v>0.0252</v>
      </c>
      <c r="AA15" s="79" t="n">
        <v>0.0063</v>
      </c>
      <c r="AB15" s="79" t="n">
        <v>8.956899999999999</v>
      </c>
      <c r="AC15" s="79" t="n">
        <v>12.7398</v>
      </c>
      <c r="AD15" s="79" t="n">
        <v>14.5398</v>
      </c>
      <c r="AE15" s="77" t="inlineStr">
        <is>
          <t>False</t>
        </is>
      </c>
      <c r="AF15" s="77" t="inlineStr">
        <is>
          <t>False</t>
        </is>
      </c>
      <c r="AG15" s="79" t="n">
        <v>12.7475</v>
      </c>
      <c r="AH15" s="79" t="n">
        <v>14.4305</v>
      </c>
      <c r="AI15" s="79" t="n">
        <v>1.001</v>
      </c>
      <c r="AJ15" s="78" t="n">
        <v>2212712448</v>
      </c>
      <c r="AK15" s="78" t="n">
        <v>2200096768</v>
      </c>
      <c r="AL15" s="78" t="n">
        <v>12615680</v>
      </c>
      <c r="AM15" s="78" t="n">
        <v>12615680</v>
      </c>
      <c r="AN15" s="78" t="n">
        <v>25232592</v>
      </c>
      <c r="AO15" s="79" t="n">
        <v>2.2148</v>
      </c>
      <c r="AP15" s="79" t="n">
        <v>2.6743</v>
      </c>
      <c r="AQ15" s="79" t="n">
        <v>12.5945</v>
      </c>
      <c r="AR15" s="79" t="n">
        <v>10.0732</v>
      </c>
      <c r="AS15" s="79" t="n">
        <v>5.849</v>
      </c>
      <c r="AT15" s="79" t="n">
        <v>112.702</v>
      </c>
      <c r="AU15" s="79" t="n">
        <v>112.718</v>
      </c>
      <c r="AV15" s="79" t="n">
        <v>11.7348</v>
      </c>
    </row>
    <row r="16" ht="15" customHeight="1" s="42">
      <c r="A16" s="77" t="inlineStr">
        <is>
          <t>lora_rank</t>
        </is>
      </c>
      <c r="B16" s="77" t="n">
        <v>8</v>
      </c>
      <c r="C16" s="77" t="inlineStr">
        <is>
          <t>TinyLlama/TinyLlama-1.1B-intermediate-step-1431k-3T</t>
        </is>
      </c>
      <c r="D16" s="77" t="inlineStr">
        <is>
          <t>bf16</t>
        </is>
      </c>
      <c r="E16" s="78" t="n">
        <v>8</v>
      </c>
      <c r="F16" s="77" t="inlineStr">
        <is>
          <t>q_proj|k_proj|v_proj|o_proj|gate_proj|up_proj|down_proj</t>
        </is>
      </c>
      <c r="G16" s="77" t="inlineStr">
        <is>
          <t>all</t>
        </is>
      </c>
      <c r="H16" s="78" t="n">
        <v>8</v>
      </c>
      <c r="I16" s="78" t="n">
        <v>512</v>
      </c>
      <c r="J16" s="77" t="inlineStr">
        <is>
          <t>amp_bf16</t>
        </is>
      </c>
      <c r="K16" s="77" t="inlineStr">
        <is>
          <t>adam</t>
        </is>
      </c>
      <c r="L16" s="77" t="inlineStr">
        <is>
          <t>False</t>
        </is>
      </c>
      <c r="M16" s="78" t="n">
        <v>7</v>
      </c>
      <c r="N16" s="78" t="n">
        <v>2048</v>
      </c>
      <c r="O16" s="78" t="n">
        <v>22</v>
      </c>
      <c r="P16" s="78" t="n">
        <v>32</v>
      </c>
      <c r="Q16" s="78" t="n">
        <v>4</v>
      </c>
      <c r="R16" s="78" t="n">
        <v>5632</v>
      </c>
      <c r="S16" s="78" t="n">
        <v>32000</v>
      </c>
      <c r="T16" s="78" t="n">
        <v>1100048384</v>
      </c>
      <c r="U16" s="78" t="n">
        <v>6307840</v>
      </c>
      <c r="V16" s="78" t="n">
        <v>22</v>
      </c>
      <c r="W16" s="79" t="n">
        <v>2.2001</v>
      </c>
      <c r="X16" s="79" t="n">
        <v>0.0252</v>
      </c>
      <c r="Y16" s="79" t="n">
        <v>0.0252</v>
      </c>
      <c r="Z16" s="79" t="n">
        <v>0.0505</v>
      </c>
      <c r="AA16" s="79" t="n">
        <v>0.0126</v>
      </c>
      <c r="AB16" s="79" t="n">
        <v>8.956899999999999</v>
      </c>
      <c r="AC16" s="79" t="n">
        <v>12.7966</v>
      </c>
      <c r="AD16" s="79" t="n">
        <v>14.5966</v>
      </c>
      <c r="AE16" s="77" t="inlineStr">
        <is>
          <t>False</t>
        </is>
      </c>
      <c r="AF16" s="77" t="inlineStr">
        <is>
          <t>False</t>
        </is>
      </c>
      <c r="AG16" s="79" t="n">
        <v>12.7966</v>
      </c>
      <c r="AH16" s="79" t="n">
        <v>14.4934</v>
      </c>
      <c r="AI16" s="79" t="n">
        <v>1</v>
      </c>
      <c r="AJ16" s="78" t="n">
        <v>2225328128</v>
      </c>
      <c r="AK16" s="78" t="n">
        <v>2200096768</v>
      </c>
      <c r="AL16" s="78" t="n">
        <v>25231360</v>
      </c>
      <c r="AM16" s="78" t="n">
        <v>25231360</v>
      </c>
      <c r="AN16" s="78" t="n">
        <v>50463952</v>
      </c>
      <c r="AO16" s="79" t="n">
        <v>2.2274</v>
      </c>
      <c r="AP16" s="79" t="n">
        <v>2.7247</v>
      </c>
      <c r="AQ16" s="79" t="n">
        <v>12.6437</v>
      </c>
      <c r="AR16" s="79" t="n">
        <v>10.0719</v>
      </c>
      <c r="AS16" s="79" t="n">
        <v>5.754</v>
      </c>
      <c r="AT16" s="79" t="n">
        <v>108.264</v>
      </c>
      <c r="AU16" s="79" t="n">
        <v>108.25</v>
      </c>
      <c r="AV16" s="79" t="n">
        <v>11.4602</v>
      </c>
    </row>
    <row r="17" ht="15" customHeight="1" s="42">
      <c r="A17" s="77" t="inlineStr">
        <is>
          <t>lora_rank</t>
        </is>
      </c>
      <c r="B17" s="77" t="n">
        <v>16</v>
      </c>
      <c r="C17" s="77" t="inlineStr">
        <is>
          <t>TinyLlama/TinyLlama-1.1B-intermediate-step-1431k-3T</t>
        </is>
      </c>
      <c r="D17" s="77" t="inlineStr">
        <is>
          <t>bf16</t>
        </is>
      </c>
      <c r="E17" s="78" t="n">
        <v>16</v>
      </c>
      <c r="F17" s="77" t="inlineStr">
        <is>
          <t>q_proj|k_proj|v_proj|o_proj|gate_proj|up_proj|down_proj</t>
        </is>
      </c>
      <c r="G17" s="77" t="inlineStr">
        <is>
          <t>all</t>
        </is>
      </c>
      <c r="H17" s="78" t="n">
        <v>8</v>
      </c>
      <c r="I17" s="78" t="n">
        <v>512</v>
      </c>
      <c r="J17" s="77" t="inlineStr">
        <is>
          <t>amp_bf16</t>
        </is>
      </c>
      <c r="K17" s="77" t="inlineStr">
        <is>
          <t>adam</t>
        </is>
      </c>
      <c r="L17" s="77" t="inlineStr">
        <is>
          <t>False</t>
        </is>
      </c>
      <c r="M17" s="78" t="n">
        <v>7</v>
      </c>
      <c r="N17" s="78" t="n">
        <v>2048</v>
      </c>
      <c r="O17" s="78" t="n">
        <v>22</v>
      </c>
      <c r="P17" s="78" t="n">
        <v>32</v>
      </c>
      <c r="Q17" s="78" t="n">
        <v>4</v>
      </c>
      <c r="R17" s="78" t="n">
        <v>5632</v>
      </c>
      <c r="S17" s="78" t="n">
        <v>32000</v>
      </c>
      <c r="T17" s="78" t="n">
        <v>1100048384</v>
      </c>
      <c r="U17" s="78" t="n">
        <v>12615680</v>
      </c>
      <c r="V17" s="78" t="n">
        <v>22</v>
      </c>
      <c r="W17" s="79" t="n">
        <v>2.2001</v>
      </c>
      <c r="X17" s="79" t="n">
        <v>0.0505</v>
      </c>
      <c r="Y17" s="79" t="n">
        <v>0.0505</v>
      </c>
      <c r="Z17" s="79" t="n">
        <v>0.1009</v>
      </c>
      <c r="AA17" s="79" t="n">
        <v>0.0252</v>
      </c>
      <c r="AB17" s="79" t="n">
        <v>8.956899999999999</v>
      </c>
      <c r="AC17" s="79" t="n">
        <v>12.9101</v>
      </c>
      <c r="AD17" s="79" t="n">
        <v>14.7101</v>
      </c>
      <c r="AE17" s="77" t="inlineStr">
        <is>
          <t>False</t>
        </is>
      </c>
      <c r="AF17" s="77" t="inlineStr">
        <is>
          <t>False</t>
        </is>
      </c>
      <c r="AG17" s="79" t="n">
        <v>12.8949</v>
      </c>
      <c r="AH17" s="79" t="n">
        <v>14.6255</v>
      </c>
      <c r="AI17" s="79" t="n">
        <v>0.999</v>
      </c>
      <c r="AJ17" s="78" t="n">
        <v>2250559488</v>
      </c>
      <c r="AK17" s="78" t="n">
        <v>2200096768</v>
      </c>
      <c r="AL17" s="78" t="n">
        <v>50462720</v>
      </c>
      <c r="AM17" s="78" t="n">
        <v>50462720</v>
      </c>
      <c r="AN17" s="78" t="n">
        <v>100926672</v>
      </c>
      <c r="AO17" s="79" t="n">
        <v>2.2527</v>
      </c>
      <c r="AP17" s="79" t="n">
        <v>2.8256</v>
      </c>
      <c r="AQ17" s="79" t="n">
        <v>12.7421</v>
      </c>
      <c r="AR17" s="79" t="n">
        <v>10.0693</v>
      </c>
      <c r="AS17" s="79" t="n">
        <v>5.897</v>
      </c>
      <c r="AT17" s="79" t="n">
        <v>108.82</v>
      </c>
      <c r="AU17" s="79" t="n">
        <v>108.794</v>
      </c>
      <c r="AV17" s="79" t="n">
        <v>11.1993</v>
      </c>
    </row>
    <row r="18" ht="15" customHeight="1" s="42">
      <c r="A18" s="77" t="inlineStr">
        <is>
          <t>lora_rank</t>
        </is>
      </c>
      <c r="B18" s="77" t="n">
        <v>64</v>
      </c>
      <c r="C18" s="77" t="inlineStr">
        <is>
          <t>TinyLlama/TinyLlama-1.1B-intermediate-step-1431k-3T</t>
        </is>
      </c>
      <c r="D18" s="77" t="inlineStr">
        <is>
          <t>bf16</t>
        </is>
      </c>
      <c r="E18" s="78" t="n">
        <v>64</v>
      </c>
      <c r="F18" s="77" t="inlineStr">
        <is>
          <t>q_proj|k_proj|v_proj|o_proj|gate_proj|up_proj|down_proj</t>
        </is>
      </c>
      <c r="G18" s="77" t="inlineStr">
        <is>
          <t>all</t>
        </is>
      </c>
      <c r="H18" s="78" t="n">
        <v>8</v>
      </c>
      <c r="I18" s="78" t="n">
        <v>512</v>
      </c>
      <c r="J18" s="77" t="inlineStr">
        <is>
          <t>amp_bf16</t>
        </is>
      </c>
      <c r="K18" s="77" t="inlineStr">
        <is>
          <t>adam</t>
        </is>
      </c>
      <c r="L18" s="77" t="inlineStr">
        <is>
          <t>False</t>
        </is>
      </c>
      <c r="M18" s="78" t="n">
        <v>7</v>
      </c>
      <c r="N18" s="78" t="n">
        <v>2048</v>
      </c>
      <c r="O18" s="78" t="n">
        <v>22</v>
      </c>
      <c r="P18" s="78" t="n">
        <v>32</v>
      </c>
      <c r="Q18" s="78" t="n">
        <v>4</v>
      </c>
      <c r="R18" s="78" t="n">
        <v>5632</v>
      </c>
      <c r="S18" s="78" t="n">
        <v>32000</v>
      </c>
      <c r="T18" s="78" t="n">
        <v>1100048384</v>
      </c>
      <c r="U18" s="78" t="n">
        <v>50462720</v>
      </c>
      <c r="V18" s="78" t="n">
        <v>22</v>
      </c>
      <c r="W18" s="79" t="n">
        <v>2.2001</v>
      </c>
      <c r="X18" s="79" t="n">
        <v>0.2019</v>
      </c>
      <c r="Y18" s="79" t="n">
        <v>0.2019</v>
      </c>
      <c r="Z18" s="79" t="n">
        <v>0.4037</v>
      </c>
      <c r="AA18" s="79" t="n">
        <v>0.1009</v>
      </c>
      <c r="AB18" s="79" t="n">
        <v>8.956899999999999</v>
      </c>
      <c r="AC18" s="79" t="n">
        <v>13.5914</v>
      </c>
      <c r="AD18" s="79" t="n">
        <v>15.3914</v>
      </c>
      <c r="AE18" s="77" t="inlineStr">
        <is>
          <t>False</t>
        </is>
      </c>
      <c r="AF18" s="77" t="inlineStr">
        <is>
          <t>False</t>
        </is>
      </c>
      <c r="AG18" s="79" t="n">
        <v>13.4996</v>
      </c>
      <c r="AH18" s="79" t="n">
        <v>14.9674</v>
      </c>
      <c r="AI18" s="79" t="n">
        <v>0.993</v>
      </c>
      <c r="AJ18" s="78" t="n">
        <v>2401947648</v>
      </c>
      <c r="AK18" s="78" t="n">
        <v>2200096768</v>
      </c>
      <c r="AL18" s="78" t="n">
        <v>201850880</v>
      </c>
      <c r="AM18" s="78" t="n">
        <v>201850880</v>
      </c>
      <c r="AN18" s="78" t="n">
        <v>403702992</v>
      </c>
      <c r="AO18" s="79" t="n">
        <v>2.4072</v>
      </c>
      <c r="AP18" s="79" t="n">
        <v>3.4506</v>
      </c>
      <c r="AQ18" s="79" t="n">
        <v>13.3467</v>
      </c>
      <c r="AR18" s="79" t="n">
        <v>10.049</v>
      </c>
      <c r="AS18" s="79" t="n">
        <v>6.251</v>
      </c>
      <c r="AT18" s="79" t="n">
        <v>108.925</v>
      </c>
      <c r="AU18" s="79" t="n">
        <v>108.92</v>
      </c>
      <c r="AV18" s="79" t="n">
        <v>10.7989</v>
      </c>
    </row>
    <row r="19" ht="15" customHeight="1" s="42">
      <c r="A19" s="77" t="inlineStr">
        <is>
          <t>checkpointing</t>
        </is>
      </c>
      <c r="B19" s="77" t="inlineStr">
        <is>
          <t>False</t>
        </is>
      </c>
      <c r="C19" s="77" t="inlineStr">
        <is>
          <t>TinyLlama/TinyLlama-1.1B-intermediate-step-1431k-3T</t>
        </is>
      </c>
      <c r="D19" s="77" t="inlineStr">
        <is>
          <t>bf16</t>
        </is>
      </c>
      <c r="E19" s="78" t="n">
        <v>8</v>
      </c>
      <c r="F19" s="77" t="inlineStr">
        <is>
          <t>q_proj|k_proj|v_proj|o_proj|gate_proj|up_proj|down_proj</t>
        </is>
      </c>
      <c r="G19" s="77" t="inlineStr">
        <is>
          <t>all</t>
        </is>
      </c>
      <c r="H19" s="78" t="n">
        <v>8</v>
      </c>
      <c r="I19" s="78" t="n">
        <v>512</v>
      </c>
      <c r="J19" s="77" t="inlineStr">
        <is>
          <t>amp_bf16</t>
        </is>
      </c>
      <c r="K19" s="77" t="inlineStr">
        <is>
          <t>adam</t>
        </is>
      </c>
      <c r="L19" s="77" t="inlineStr">
        <is>
          <t>False</t>
        </is>
      </c>
      <c r="M19" s="78" t="n">
        <v>7</v>
      </c>
      <c r="N19" s="78" t="n">
        <v>2048</v>
      </c>
      <c r="O19" s="78" t="n">
        <v>22</v>
      </c>
      <c r="P19" s="78" t="n">
        <v>32</v>
      </c>
      <c r="Q19" s="78" t="n">
        <v>4</v>
      </c>
      <c r="R19" s="78" t="n">
        <v>5632</v>
      </c>
      <c r="S19" s="78" t="n">
        <v>32000</v>
      </c>
      <c r="T19" s="78" t="n">
        <v>1100048384</v>
      </c>
      <c r="U19" s="78" t="n">
        <v>6307840</v>
      </c>
      <c r="V19" s="78" t="n">
        <v>22</v>
      </c>
      <c r="W19" s="79" t="n">
        <v>2.2001</v>
      </c>
      <c r="X19" s="79" t="n">
        <v>0.0252</v>
      </c>
      <c r="Y19" s="79" t="n">
        <v>0.0252</v>
      </c>
      <c r="Z19" s="79" t="n">
        <v>0.0505</v>
      </c>
      <c r="AA19" s="79" t="n">
        <v>0.0126</v>
      </c>
      <c r="AB19" s="79" t="n">
        <v>8.956899999999999</v>
      </c>
      <c r="AC19" s="79" t="n">
        <v>12.7966</v>
      </c>
      <c r="AD19" s="79" t="n">
        <v>14.5966</v>
      </c>
      <c r="AE19" s="77" t="inlineStr">
        <is>
          <t>False</t>
        </is>
      </c>
      <c r="AF19" s="77" t="inlineStr">
        <is>
          <t>False</t>
        </is>
      </c>
      <c r="AG19" s="79" t="n">
        <v>12.7966</v>
      </c>
      <c r="AH19" s="79" t="n">
        <v>14.4934</v>
      </c>
      <c r="AI19" s="79" t="n">
        <v>1</v>
      </c>
      <c r="AJ19" s="78" t="n">
        <v>2225328128</v>
      </c>
      <c r="AK19" s="78" t="n">
        <v>2200096768</v>
      </c>
      <c r="AL19" s="78" t="n">
        <v>25231360</v>
      </c>
      <c r="AM19" s="78" t="n">
        <v>25231360</v>
      </c>
      <c r="AN19" s="78" t="n">
        <v>50463952</v>
      </c>
      <c r="AO19" s="79" t="n">
        <v>2.2274</v>
      </c>
      <c r="AP19" s="79" t="n">
        <v>2.7247</v>
      </c>
      <c r="AQ19" s="79" t="n">
        <v>12.6437</v>
      </c>
      <c r="AR19" s="79" t="n">
        <v>10.0719</v>
      </c>
      <c r="AS19" s="79" t="n">
        <v>6.097</v>
      </c>
      <c r="AT19" s="79" t="n">
        <v>108.85</v>
      </c>
      <c r="AU19" s="79" t="n">
        <v>108.838</v>
      </c>
      <c r="AV19" s="79" t="n">
        <v>11.4604</v>
      </c>
    </row>
    <row r="20" ht="15" customHeight="1" s="42">
      <c r="A20" s="77" t="inlineStr">
        <is>
          <t>checkpointing</t>
        </is>
      </c>
      <c r="B20" s="77" t="inlineStr">
        <is>
          <t>True</t>
        </is>
      </c>
      <c r="C20" s="77" t="inlineStr">
        <is>
          <t>TinyLlama/TinyLlama-1.1B-intermediate-step-1431k-3T</t>
        </is>
      </c>
      <c r="D20" s="77" t="inlineStr">
        <is>
          <t>bf16</t>
        </is>
      </c>
      <c r="E20" s="78" t="n">
        <v>8</v>
      </c>
      <c r="F20" s="77" t="inlineStr">
        <is>
          <t>q_proj|k_proj|v_proj|o_proj|gate_proj|up_proj|down_proj</t>
        </is>
      </c>
      <c r="G20" s="77" t="inlineStr">
        <is>
          <t>all</t>
        </is>
      </c>
      <c r="H20" s="78" t="n">
        <v>8</v>
      </c>
      <c r="I20" s="78" t="n">
        <v>512</v>
      </c>
      <c r="J20" s="77" t="inlineStr">
        <is>
          <t>amp_bf16</t>
        </is>
      </c>
      <c r="K20" s="77" t="inlineStr">
        <is>
          <t>adam</t>
        </is>
      </c>
      <c r="L20" s="77" t="inlineStr">
        <is>
          <t>True</t>
        </is>
      </c>
      <c r="M20" s="78" t="n">
        <v>7</v>
      </c>
      <c r="N20" s="78" t="n">
        <v>2048</v>
      </c>
      <c r="O20" s="78" t="n">
        <v>22</v>
      </c>
      <c r="P20" s="78" t="n">
        <v>32</v>
      </c>
      <c r="Q20" s="78" t="n">
        <v>4</v>
      </c>
      <c r="R20" s="78" t="n">
        <v>5632</v>
      </c>
      <c r="S20" s="78" t="n">
        <v>32000</v>
      </c>
      <c r="T20" s="78" t="n">
        <v>1100048384</v>
      </c>
      <c r="U20" s="78" t="n">
        <v>6307840</v>
      </c>
      <c r="V20" s="78" t="n">
        <v>22</v>
      </c>
      <c r="W20" s="79" t="n">
        <v>2.2001</v>
      </c>
      <c r="X20" s="79" t="n">
        <v>0.0252</v>
      </c>
      <c r="Y20" s="79" t="n">
        <v>0.0252</v>
      </c>
      <c r="Z20" s="79" t="n">
        <v>0.0505</v>
      </c>
      <c r="AA20" s="79" t="n">
        <v>0.0126</v>
      </c>
      <c r="AB20" s="79" t="n">
        <v>2.439</v>
      </c>
      <c r="AC20" s="79" t="n">
        <v>4.7148</v>
      </c>
      <c r="AD20" s="79" t="n">
        <v>10.5148</v>
      </c>
      <c r="AE20" s="77" t="inlineStr">
        <is>
          <t>False</t>
        </is>
      </c>
      <c r="AF20" s="77" t="inlineStr">
        <is>
          <t>False</t>
        </is>
      </c>
      <c r="AG20" s="79" t="n">
        <v>4.5829</v>
      </c>
      <c r="AH20" s="79" t="n">
        <v>5.5679</v>
      </c>
      <c r="AI20" s="79" t="n">
        <v>0.972</v>
      </c>
      <c r="AJ20" s="78" t="n">
        <v>2225328128</v>
      </c>
      <c r="AK20" s="78" t="n">
        <v>2200096768</v>
      </c>
      <c r="AL20" s="78" t="n">
        <v>25231360</v>
      </c>
      <c r="AM20" s="78" t="n">
        <v>25231360</v>
      </c>
      <c r="AN20" s="78" t="n">
        <v>50463952</v>
      </c>
      <c r="AO20" s="79" t="n">
        <v>2.2274</v>
      </c>
      <c r="AP20" s="79" t="n">
        <v>2.666</v>
      </c>
      <c r="AQ20" s="79" t="n">
        <v>4.3837</v>
      </c>
      <c r="AR20" s="79" t="n">
        <v>1.9169</v>
      </c>
      <c r="AS20" s="79" t="n">
        <v>6.278</v>
      </c>
      <c r="AT20" s="79" t="n">
        <v>150.019</v>
      </c>
      <c r="AU20" s="79" t="n">
        <v>149.993</v>
      </c>
      <c r="AV20" s="79" t="n">
        <v>11.4603</v>
      </c>
    </row>
    <row r="21" ht="15" customHeight="1" s="42">
      <c r="A21" s="77" t="inlineStr">
        <is>
          <t>adapter_placement</t>
        </is>
      </c>
      <c r="B21" s="77" t="inlineStr">
        <is>
          <t>all</t>
        </is>
      </c>
      <c r="C21" s="77" t="inlineStr">
        <is>
          <t>TinyLlama/TinyLlama-1.1B-intermediate-step-1431k-3T</t>
        </is>
      </c>
      <c r="D21" s="77" t="inlineStr">
        <is>
          <t>bf16</t>
        </is>
      </c>
      <c r="E21" s="78" t="n">
        <v>8</v>
      </c>
      <c r="F21" s="77" t="inlineStr">
        <is>
          <t>q_proj|k_proj|v_proj|o_proj|gate_proj|up_proj|down_proj</t>
        </is>
      </c>
      <c r="G21" s="77" t="inlineStr">
        <is>
          <t>all</t>
        </is>
      </c>
      <c r="H21" s="78" t="n">
        <v>8</v>
      </c>
      <c r="I21" s="78" t="n">
        <v>512</v>
      </c>
      <c r="J21" s="77" t="inlineStr">
        <is>
          <t>amp_bf16</t>
        </is>
      </c>
      <c r="K21" s="77" t="inlineStr">
        <is>
          <t>adam</t>
        </is>
      </c>
      <c r="L21" s="77" t="inlineStr">
        <is>
          <t>False</t>
        </is>
      </c>
      <c r="M21" s="78" t="n">
        <v>7</v>
      </c>
      <c r="N21" s="78" t="n">
        <v>2048</v>
      </c>
      <c r="O21" s="78" t="n">
        <v>22</v>
      </c>
      <c r="P21" s="78" t="n">
        <v>32</v>
      </c>
      <c r="Q21" s="78" t="n">
        <v>4</v>
      </c>
      <c r="R21" s="78" t="n">
        <v>5632</v>
      </c>
      <c r="S21" s="78" t="n">
        <v>32000</v>
      </c>
      <c r="T21" s="78" t="n">
        <v>1100048384</v>
      </c>
      <c r="U21" s="78" t="n">
        <v>6307840</v>
      </c>
      <c r="V21" s="78" t="n">
        <v>22</v>
      </c>
      <c r="W21" s="79" t="n">
        <v>2.2001</v>
      </c>
      <c r="X21" s="79" t="n">
        <v>0.0252</v>
      </c>
      <c r="Y21" s="79" t="n">
        <v>0.0252</v>
      </c>
      <c r="Z21" s="79" t="n">
        <v>0.0505</v>
      </c>
      <c r="AA21" s="79" t="n">
        <v>0.0126</v>
      </c>
      <c r="AB21" s="79" t="n">
        <v>8.956899999999999</v>
      </c>
      <c r="AC21" s="79" t="n">
        <v>12.7966</v>
      </c>
      <c r="AD21" s="79" t="n">
        <v>14.5966</v>
      </c>
      <c r="AE21" s="77" t="inlineStr">
        <is>
          <t>False</t>
        </is>
      </c>
      <c r="AF21" s="77" t="inlineStr">
        <is>
          <t>False</t>
        </is>
      </c>
      <c r="AG21" s="79" t="n">
        <v>12.7966</v>
      </c>
      <c r="AH21" s="79" t="n">
        <v>14.4934</v>
      </c>
      <c r="AI21" s="79" t="n">
        <v>1</v>
      </c>
      <c r="AJ21" s="78" t="n">
        <v>2225328128</v>
      </c>
      <c r="AK21" s="78" t="n">
        <v>2200096768</v>
      </c>
      <c r="AL21" s="78" t="n">
        <v>25231360</v>
      </c>
      <c r="AM21" s="78" t="n">
        <v>25231360</v>
      </c>
      <c r="AN21" s="78" t="n">
        <v>50463952</v>
      </c>
      <c r="AO21" s="79" t="n">
        <v>2.2274</v>
      </c>
      <c r="AP21" s="79" t="n">
        <v>2.7247</v>
      </c>
      <c r="AQ21" s="79" t="n">
        <v>12.6437</v>
      </c>
      <c r="AR21" s="79" t="n">
        <v>10.0719</v>
      </c>
      <c r="AS21" s="79" t="n">
        <v>5.841</v>
      </c>
      <c r="AT21" s="79" t="n">
        <v>108.198</v>
      </c>
      <c r="AU21" s="79" t="n">
        <v>108.157</v>
      </c>
      <c r="AV21" s="79" t="n">
        <v>11.4606</v>
      </c>
    </row>
    <row r="22" ht="15" customHeight="1" s="42">
      <c r="A22" s="77" t="inlineStr">
        <is>
          <t>adapter_placement</t>
        </is>
      </c>
      <c r="B22" s="77" t="inlineStr">
        <is>
          <t>upper-11</t>
        </is>
      </c>
      <c r="C22" s="77" t="inlineStr">
        <is>
          <t>TinyLlama/TinyLlama-1.1B-intermediate-step-1431k-3T</t>
        </is>
      </c>
      <c r="D22" s="77" t="inlineStr">
        <is>
          <t>bf16</t>
        </is>
      </c>
      <c r="E22" s="78" t="n">
        <v>8</v>
      </c>
      <c r="F22" s="77" t="inlineStr">
        <is>
          <t>q_proj|k_proj|v_proj|o_proj|gate_proj|up_proj|down_proj</t>
        </is>
      </c>
      <c r="G22" s="77" t="inlineStr">
        <is>
          <t>upper-11</t>
        </is>
      </c>
      <c r="H22" s="78" t="n">
        <v>8</v>
      </c>
      <c r="I22" s="78" t="n">
        <v>512</v>
      </c>
      <c r="J22" s="77" t="inlineStr">
        <is>
          <t>amp_bf16</t>
        </is>
      </c>
      <c r="K22" s="77" t="inlineStr">
        <is>
          <t>adam</t>
        </is>
      </c>
      <c r="L22" s="77" t="inlineStr">
        <is>
          <t>False</t>
        </is>
      </c>
      <c r="M22" s="78" t="n">
        <v>7</v>
      </c>
      <c r="N22" s="78" t="n">
        <v>2048</v>
      </c>
      <c r="O22" s="78" t="n">
        <v>22</v>
      </c>
      <c r="P22" s="78" t="n">
        <v>32</v>
      </c>
      <c r="Q22" s="78" t="n">
        <v>4</v>
      </c>
      <c r="R22" s="78" t="n">
        <v>5632</v>
      </c>
      <c r="S22" s="78" t="n">
        <v>32000</v>
      </c>
      <c r="T22" s="78" t="n">
        <v>1100048384</v>
      </c>
      <c r="U22" s="78" t="n">
        <v>3153920</v>
      </c>
      <c r="V22" s="78" t="n">
        <v>11</v>
      </c>
      <c r="W22" s="79" t="n">
        <v>2.2001</v>
      </c>
      <c r="X22" s="79" t="n">
        <v>0.0126</v>
      </c>
      <c r="Y22" s="79" t="n">
        <v>0.0126</v>
      </c>
      <c r="Z22" s="79" t="n">
        <v>0.0252</v>
      </c>
      <c r="AA22" s="79" t="n">
        <v>0.0063</v>
      </c>
      <c r="AB22" s="79" t="n">
        <v>5.4044</v>
      </c>
      <c r="AC22" s="79" t="n">
        <v>8.496600000000001</v>
      </c>
      <c r="AD22" s="79" t="n">
        <v>10.2966</v>
      </c>
      <c r="AE22" s="77" t="inlineStr">
        <is>
          <t>False</t>
        </is>
      </c>
      <c r="AF22" s="77" t="inlineStr">
        <is>
          <t>False</t>
        </is>
      </c>
      <c r="AG22" s="79" t="n">
        <v>8.496700000000001</v>
      </c>
      <c r="AH22" s="79" t="n">
        <v>9.4603</v>
      </c>
      <c r="AI22" s="79" t="n">
        <v>1</v>
      </c>
      <c r="AJ22" s="78" t="n">
        <v>2212712448</v>
      </c>
      <c r="AK22" s="78" t="n">
        <v>2200096768</v>
      </c>
      <c r="AL22" s="78" t="n">
        <v>12615680</v>
      </c>
      <c r="AM22" s="78" t="n">
        <v>12615680</v>
      </c>
      <c r="AN22" s="78" t="n">
        <v>25231976</v>
      </c>
      <c r="AO22" s="79" t="n">
        <v>2.2148</v>
      </c>
      <c r="AP22" s="79" t="n">
        <v>2.6743</v>
      </c>
      <c r="AQ22" s="79" t="n">
        <v>8.3437</v>
      </c>
      <c r="AR22" s="79" t="n">
        <v>5.8224</v>
      </c>
      <c r="AS22" s="79" t="n">
        <v>5.562</v>
      </c>
      <c r="AT22" s="79" t="n">
        <v>68.063</v>
      </c>
      <c r="AU22" s="79" t="n">
        <v>68.03400000000001</v>
      </c>
      <c r="AV22" s="79" t="n">
        <v>11.5915</v>
      </c>
    </row>
    <row r="23" ht="15" customHeight="1" s="42">
      <c r="A23" s="77" t="inlineStr">
        <is>
          <t>adapter_placement</t>
        </is>
      </c>
      <c r="B23" s="77" t="inlineStr">
        <is>
          <t>upper-6</t>
        </is>
      </c>
      <c r="C23" s="77" t="inlineStr">
        <is>
          <t>TinyLlama/TinyLlama-1.1B-intermediate-step-1431k-3T</t>
        </is>
      </c>
      <c r="D23" s="77" t="inlineStr">
        <is>
          <t>bf16</t>
        </is>
      </c>
      <c r="E23" s="78" t="n">
        <v>8</v>
      </c>
      <c r="F23" s="77" t="inlineStr">
        <is>
          <t>q_proj|k_proj|v_proj|o_proj|gate_proj|up_proj|down_proj</t>
        </is>
      </c>
      <c r="G23" s="77" t="inlineStr">
        <is>
          <t>upper-6</t>
        </is>
      </c>
      <c r="H23" s="78" t="n">
        <v>8</v>
      </c>
      <c r="I23" s="78" t="n">
        <v>512</v>
      </c>
      <c r="J23" s="77" t="inlineStr">
        <is>
          <t>amp_bf16</t>
        </is>
      </c>
      <c r="K23" s="77" t="inlineStr">
        <is>
          <t>adam</t>
        </is>
      </c>
      <c r="L23" s="77" t="inlineStr">
        <is>
          <t>False</t>
        </is>
      </c>
      <c r="M23" s="78" t="n">
        <v>7</v>
      </c>
      <c r="N23" s="78" t="n">
        <v>2048</v>
      </c>
      <c r="O23" s="78" t="n">
        <v>22</v>
      </c>
      <c r="P23" s="78" t="n">
        <v>32</v>
      </c>
      <c r="Q23" s="78" t="n">
        <v>4</v>
      </c>
      <c r="R23" s="78" t="n">
        <v>5632</v>
      </c>
      <c r="S23" s="78" t="n">
        <v>32000</v>
      </c>
      <c r="T23" s="78" t="n">
        <v>1100048384</v>
      </c>
      <c r="U23" s="78" t="n">
        <v>1720320</v>
      </c>
      <c r="V23" s="78" t="n">
        <v>6</v>
      </c>
      <c r="W23" s="79" t="n">
        <v>2.2001</v>
      </c>
      <c r="X23" s="79" t="n">
        <v>0.0069</v>
      </c>
      <c r="Y23" s="79" t="n">
        <v>0.0069</v>
      </c>
      <c r="Z23" s="79" t="n">
        <v>0.0138</v>
      </c>
      <c r="AA23" s="79" t="n">
        <v>0.0034</v>
      </c>
      <c r="AB23" s="79" t="n">
        <v>3.7896</v>
      </c>
      <c r="AC23" s="79" t="n">
        <v>6.5421</v>
      </c>
      <c r="AD23" s="79" t="n">
        <v>8.3421</v>
      </c>
      <c r="AE23" s="77" t="inlineStr">
        <is>
          <t>False</t>
        </is>
      </c>
      <c r="AF23" s="77" t="inlineStr">
        <is>
          <t>False</t>
        </is>
      </c>
      <c r="AG23" s="79" t="n">
        <v>6.5421</v>
      </c>
      <c r="AH23" s="79" t="n">
        <v>7.3967</v>
      </c>
      <c r="AI23" s="79" t="n">
        <v>1</v>
      </c>
      <c r="AJ23" s="78" t="n">
        <v>2206978048</v>
      </c>
      <c r="AK23" s="78" t="n">
        <v>2200096768</v>
      </c>
      <c r="AL23" s="78" t="n">
        <v>6881280</v>
      </c>
      <c r="AM23" s="78" t="n">
        <v>6881280</v>
      </c>
      <c r="AN23" s="78" t="n">
        <v>13762896</v>
      </c>
      <c r="AO23" s="79" t="n">
        <v>2.2091</v>
      </c>
      <c r="AP23" s="79" t="n">
        <v>2.6513</v>
      </c>
      <c r="AQ23" s="79" t="n">
        <v>6.3892</v>
      </c>
      <c r="AR23" s="79" t="n">
        <v>3.8908</v>
      </c>
      <c r="AS23" s="79" t="n">
        <v>5.398</v>
      </c>
      <c r="AT23" s="79" t="n">
        <v>50</v>
      </c>
      <c r="AU23" s="79" t="n">
        <v>49.945</v>
      </c>
      <c r="AV23" s="79" t="n">
        <v>11.9112</v>
      </c>
    </row>
    <row r="24" ht="15" customHeight="1" s="42">
      <c r="A24" s="77" t="inlineStr">
        <is>
          <t>adapter_placement</t>
        </is>
      </c>
      <c r="B24" s="77" t="inlineStr">
        <is>
          <t>upper-3</t>
        </is>
      </c>
      <c r="C24" s="77" t="inlineStr">
        <is>
          <t>TinyLlama/TinyLlama-1.1B-intermediate-step-1431k-3T</t>
        </is>
      </c>
      <c r="D24" s="77" t="inlineStr">
        <is>
          <t>bf16</t>
        </is>
      </c>
      <c r="E24" s="78" t="n">
        <v>8</v>
      </c>
      <c r="F24" s="77" t="inlineStr">
        <is>
          <t>q_proj|k_proj|v_proj|o_proj|gate_proj|up_proj|down_proj</t>
        </is>
      </c>
      <c r="G24" s="77" t="inlineStr">
        <is>
          <t>upper-3</t>
        </is>
      </c>
      <c r="H24" s="78" t="n">
        <v>8</v>
      </c>
      <c r="I24" s="78" t="n">
        <v>512</v>
      </c>
      <c r="J24" s="77" t="inlineStr">
        <is>
          <t>amp_bf16</t>
        </is>
      </c>
      <c r="K24" s="77" t="inlineStr">
        <is>
          <t>adam</t>
        </is>
      </c>
      <c r="L24" s="77" t="inlineStr">
        <is>
          <t>False</t>
        </is>
      </c>
      <c r="M24" s="78" t="n">
        <v>7</v>
      </c>
      <c r="N24" s="78" t="n">
        <v>2048</v>
      </c>
      <c r="O24" s="78" t="n">
        <v>22</v>
      </c>
      <c r="P24" s="78" t="n">
        <v>32</v>
      </c>
      <c r="Q24" s="78" t="n">
        <v>4</v>
      </c>
      <c r="R24" s="78" t="n">
        <v>5632</v>
      </c>
      <c r="S24" s="78" t="n">
        <v>32000</v>
      </c>
      <c r="T24" s="78" t="n">
        <v>1100048384</v>
      </c>
      <c r="U24" s="78" t="n">
        <v>860160</v>
      </c>
      <c r="V24" s="78" t="n">
        <v>3</v>
      </c>
      <c r="W24" s="79" t="n">
        <v>2.2001</v>
      </c>
      <c r="X24" s="79" t="n">
        <v>0.0034</v>
      </c>
      <c r="Y24" s="79" t="n">
        <v>0.0034</v>
      </c>
      <c r="Z24" s="79" t="n">
        <v>0.0069</v>
      </c>
      <c r="AA24" s="79" t="n">
        <v>0.0017</v>
      </c>
      <c r="AB24" s="79" t="n">
        <v>2.8207</v>
      </c>
      <c r="AC24" s="79" t="n">
        <v>5.3694</v>
      </c>
      <c r="AD24" s="79" t="n">
        <v>7.1694</v>
      </c>
      <c r="AE24" s="77" t="inlineStr">
        <is>
          <t>False</t>
        </is>
      </c>
      <c r="AF24" s="77" t="inlineStr">
        <is>
          <t>False</t>
        </is>
      </c>
      <c r="AG24" s="79" t="n">
        <v>5.3694</v>
      </c>
      <c r="AH24" s="79" t="n">
        <v>6.1572</v>
      </c>
      <c r="AI24" s="79" t="n">
        <v>1</v>
      </c>
      <c r="AJ24" s="78" t="n">
        <v>2203537408</v>
      </c>
      <c r="AK24" s="78" t="n">
        <v>2200096768</v>
      </c>
      <c r="AL24" s="78" t="n">
        <v>3440640</v>
      </c>
      <c r="AM24" s="78" t="n">
        <v>3440640</v>
      </c>
      <c r="AN24" s="78" t="n">
        <v>6881448</v>
      </c>
      <c r="AO24" s="79" t="n">
        <v>2.2056</v>
      </c>
      <c r="AP24" s="79" t="n">
        <v>2.6376</v>
      </c>
      <c r="AQ24" s="79" t="n">
        <v>5.2165</v>
      </c>
      <c r="AR24" s="79" t="n">
        <v>2.7319</v>
      </c>
      <c r="AS24" s="79" t="n">
        <v>5.12</v>
      </c>
      <c r="AT24" s="79" t="n">
        <v>39.364</v>
      </c>
      <c r="AU24" s="79" t="n">
        <v>39.371</v>
      </c>
      <c r="AV24" s="79" t="n">
        <v>12.0899</v>
      </c>
    </row>
    <row r="25" ht="15" customHeight="1" s="42">
      <c r="A25" s="77" t="inlineStr">
        <is>
          <t>base_precision</t>
        </is>
      </c>
      <c r="B25" s="77" t="inlineStr">
        <is>
          <t>bf16</t>
        </is>
      </c>
      <c r="C25" s="77" t="inlineStr">
        <is>
          <t>TinyLlama/TinyLlama-1.1B-intermediate-step-1431k-3T</t>
        </is>
      </c>
      <c r="D25" s="77" t="inlineStr">
        <is>
          <t>bf16</t>
        </is>
      </c>
      <c r="E25" s="78" t="n">
        <v>8</v>
      </c>
      <c r="F25" s="77" t="inlineStr">
        <is>
          <t>q_proj|k_proj|v_proj|o_proj|gate_proj|up_proj|down_proj</t>
        </is>
      </c>
      <c r="G25" s="77" t="inlineStr">
        <is>
          <t>all</t>
        </is>
      </c>
      <c r="H25" s="78" t="n">
        <v>8</v>
      </c>
      <c r="I25" s="78" t="n">
        <v>512</v>
      </c>
      <c r="J25" s="77" t="inlineStr">
        <is>
          <t>amp_bf16</t>
        </is>
      </c>
      <c r="K25" s="77" t="inlineStr">
        <is>
          <t>adam</t>
        </is>
      </c>
      <c r="L25" s="77" t="inlineStr">
        <is>
          <t>False</t>
        </is>
      </c>
      <c r="M25" s="78" t="n">
        <v>7</v>
      </c>
      <c r="N25" s="78" t="n">
        <v>2048</v>
      </c>
      <c r="O25" s="78" t="n">
        <v>22</v>
      </c>
      <c r="P25" s="78" t="n">
        <v>32</v>
      </c>
      <c r="Q25" s="78" t="n">
        <v>4</v>
      </c>
      <c r="R25" s="78" t="n">
        <v>5632</v>
      </c>
      <c r="S25" s="78" t="n">
        <v>32000</v>
      </c>
      <c r="T25" s="78" t="n">
        <v>1100048384</v>
      </c>
      <c r="U25" s="78" t="n">
        <v>6307840</v>
      </c>
      <c r="V25" s="78" t="n">
        <v>22</v>
      </c>
      <c r="W25" s="79" t="n">
        <v>2.2001</v>
      </c>
      <c r="X25" s="79" t="n">
        <v>0.0252</v>
      </c>
      <c r="Y25" s="79" t="n">
        <v>0.0252</v>
      </c>
      <c r="Z25" s="79" t="n">
        <v>0.0505</v>
      </c>
      <c r="AA25" s="79" t="n">
        <v>0.0126</v>
      </c>
      <c r="AB25" s="79" t="n">
        <v>8.956899999999999</v>
      </c>
      <c r="AC25" s="79" t="n">
        <v>12.7966</v>
      </c>
      <c r="AD25" s="79" t="n">
        <v>14.5966</v>
      </c>
      <c r="AE25" s="77" t="inlineStr">
        <is>
          <t>False</t>
        </is>
      </c>
      <c r="AF25" s="77" t="inlineStr">
        <is>
          <t>False</t>
        </is>
      </c>
      <c r="AG25" s="79" t="n">
        <v>12.7966</v>
      </c>
      <c r="AH25" s="79" t="n">
        <v>14.4934</v>
      </c>
      <c r="AI25" s="79" t="n">
        <v>1</v>
      </c>
      <c r="AJ25" s="78" t="n">
        <v>2225328128</v>
      </c>
      <c r="AK25" s="78" t="n">
        <v>2200096768</v>
      </c>
      <c r="AL25" s="78" t="n">
        <v>25231360</v>
      </c>
      <c r="AM25" s="78" t="n">
        <v>25231360</v>
      </c>
      <c r="AN25" s="78" t="n">
        <v>50463952</v>
      </c>
      <c r="AO25" s="79" t="n">
        <v>2.2274</v>
      </c>
      <c r="AP25" s="79" t="n">
        <v>2.7247</v>
      </c>
      <c r="AQ25" s="79" t="n">
        <v>12.6437</v>
      </c>
      <c r="AR25" s="79" t="n">
        <v>10.0719</v>
      </c>
      <c r="AS25" s="79" t="n">
        <v>5.989</v>
      </c>
      <c r="AT25" s="79" t="n">
        <v>109.031</v>
      </c>
      <c r="AU25" s="79" t="n">
        <v>109.036</v>
      </c>
      <c r="AV25" s="79" t="n">
        <v>11.4603</v>
      </c>
    </row>
    <row r="26" ht="15" customHeight="1" s="42">
      <c r="A26" s="77" t="inlineStr">
        <is>
          <t>base_precision</t>
        </is>
      </c>
      <c r="B26" s="77" t="inlineStr">
        <is>
          <t>fp32</t>
        </is>
      </c>
      <c r="C26" s="77" t="inlineStr">
        <is>
          <t>TinyLlama/TinyLlama-1.1B-intermediate-step-1431k-3T</t>
        </is>
      </c>
      <c r="D26" s="77" t="inlineStr">
        <is>
          <t>fp32</t>
        </is>
      </c>
      <c r="E26" s="78" t="n">
        <v>8</v>
      </c>
      <c r="F26" s="77" t="inlineStr">
        <is>
          <t>q_proj|k_proj|v_proj|o_proj|gate_proj|up_proj|down_proj</t>
        </is>
      </c>
      <c r="G26" s="77" t="inlineStr">
        <is>
          <t>all</t>
        </is>
      </c>
      <c r="H26" s="78" t="n">
        <v>8</v>
      </c>
      <c r="I26" s="78" t="n">
        <v>512</v>
      </c>
      <c r="J26" s="77" t="inlineStr">
        <is>
          <t>amp_bf16</t>
        </is>
      </c>
      <c r="K26" s="77" t="inlineStr">
        <is>
          <t>adam</t>
        </is>
      </c>
      <c r="L26" s="77" t="inlineStr">
        <is>
          <t>False</t>
        </is>
      </c>
      <c r="M26" s="78" t="n">
        <v>7</v>
      </c>
      <c r="N26" s="78" t="n">
        <v>2048</v>
      </c>
      <c r="O26" s="78" t="n">
        <v>22</v>
      </c>
      <c r="P26" s="78" t="n">
        <v>32</v>
      </c>
      <c r="Q26" s="78" t="n">
        <v>4</v>
      </c>
      <c r="R26" s="78" t="n">
        <v>5632</v>
      </c>
      <c r="S26" s="78" t="n">
        <v>32000</v>
      </c>
      <c r="T26" s="78" t="n">
        <v>1100048384</v>
      </c>
      <c r="U26" s="78" t="n">
        <v>6307840</v>
      </c>
      <c r="V26" s="78" t="n">
        <v>22</v>
      </c>
      <c r="W26" s="79" t="n">
        <v>4.4002</v>
      </c>
      <c r="X26" s="79" t="n">
        <v>0.0252</v>
      </c>
      <c r="Y26" s="79" t="n">
        <v>0.0252</v>
      </c>
      <c r="Z26" s="79" t="n">
        <v>0.0505</v>
      </c>
      <c r="AA26" s="79" t="n">
        <v>2.2127</v>
      </c>
      <c r="AB26" s="79" t="n">
        <v>8.956899999999999</v>
      </c>
      <c r="AC26" s="79" t="n">
        <v>17.1968</v>
      </c>
      <c r="AD26" s="79" t="n">
        <v>18.9968</v>
      </c>
      <c r="AE26" s="77" t="inlineStr">
        <is>
          <t>False</t>
        </is>
      </c>
      <c r="AF26" s="77" t="inlineStr">
        <is>
          <t>False</t>
        </is>
      </c>
      <c r="AG26" s="79" t="n">
        <v>17.2377</v>
      </c>
      <c r="AH26" s="79" t="n">
        <v>18.5451</v>
      </c>
      <c r="AI26" s="79" t="n">
        <v>1.002</v>
      </c>
      <c r="AJ26" s="78" t="n">
        <v>4425424896</v>
      </c>
      <c r="AK26" s="78" t="n">
        <v>4400193536</v>
      </c>
      <c r="AL26" s="78" t="n">
        <v>25231360</v>
      </c>
      <c r="AM26" s="78" t="n">
        <v>25231360</v>
      </c>
      <c r="AN26" s="78" t="n">
        <v>50463952</v>
      </c>
      <c r="AO26" s="79" t="n">
        <v>4.4254</v>
      </c>
      <c r="AP26" s="79" t="n">
        <v>5.015</v>
      </c>
      <c r="AQ26" s="79" t="n">
        <v>17.1938</v>
      </c>
      <c r="AR26" s="79" t="n">
        <v>12.2227</v>
      </c>
      <c r="AS26" s="79" t="n">
        <v>6.165</v>
      </c>
      <c r="AT26" s="79" t="n">
        <v>118.272</v>
      </c>
      <c r="AU26" s="79" t="n">
        <v>118.231</v>
      </c>
      <c r="AV26" s="79" t="n">
        <v>11.4585</v>
      </c>
    </row>
    <row r="27" ht="15" customHeight="1" s="42">
      <c r="A27" s="77" t="inlineStr">
        <is>
          <t>combined</t>
        </is>
      </c>
      <c r="B27" s="77" t="inlineStr">
        <is>
          <t>baseline</t>
        </is>
      </c>
      <c r="C27" s="77" t="inlineStr">
        <is>
          <t>TinyLlama/TinyLlama-1.1B-intermediate-step-1431k-3T</t>
        </is>
      </c>
      <c r="D27" s="77" t="inlineStr">
        <is>
          <t>bf16</t>
        </is>
      </c>
      <c r="E27" s="78" t="n">
        <v>8</v>
      </c>
      <c r="F27" s="77" t="inlineStr">
        <is>
          <t>q_proj|k_proj|v_proj|o_proj|gate_proj|up_proj|down_proj</t>
        </is>
      </c>
      <c r="G27" s="77" t="inlineStr">
        <is>
          <t>all</t>
        </is>
      </c>
      <c r="H27" s="78" t="n">
        <v>32</v>
      </c>
      <c r="I27" s="78" t="n">
        <v>2048</v>
      </c>
      <c r="J27" s="77" t="inlineStr">
        <is>
          <t>amp_bf16</t>
        </is>
      </c>
      <c r="K27" s="77" t="inlineStr">
        <is>
          <t>adam</t>
        </is>
      </c>
      <c r="L27" s="77" t="inlineStr">
        <is>
          <t>False</t>
        </is>
      </c>
      <c r="M27" s="78" t="n">
        <v>7</v>
      </c>
      <c r="N27" s="78" t="n"/>
      <c r="O27" s="78" t="n"/>
      <c r="P27" s="78" t="n"/>
      <c r="Q27" s="78" t="n"/>
      <c r="R27" s="78" t="n"/>
      <c r="S27" s="78" t="n"/>
      <c r="T27" s="78" t="n"/>
      <c r="U27" s="78" t="n"/>
      <c r="V27" s="78" t="n"/>
      <c r="W27" s="79" t="n"/>
      <c r="X27" s="79" t="n"/>
      <c r="Y27" s="79" t="n"/>
      <c r="Z27" s="79" t="n"/>
      <c r="AA27" s="79" t="n"/>
      <c r="AB27" s="79" t="n"/>
      <c r="AC27" s="79" t="n"/>
      <c r="AD27" s="79" t="n"/>
      <c r="AE27" s="77" t="n"/>
      <c r="AF27" s="77" t="inlineStr">
        <is>
          <t>True</t>
        </is>
      </c>
      <c r="AG27" s="79" t="inlineStr">
        <is>
          <t>OOM</t>
        </is>
      </c>
      <c r="AH27" s="79" t="inlineStr">
        <is>
          <t>OOM</t>
        </is>
      </c>
      <c r="AI27" s="79" t="n"/>
      <c r="AJ27" s="78" t="n"/>
      <c r="AK27" s="78" t="n"/>
      <c r="AL27" s="78" t="n"/>
      <c r="AM27" s="78" t="n"/>
      <c r="AN27" s="78" t="n"/>
      <c r="AO27" s="79" t="n"/>
      <c r="AP27" s="79" t="n"/>
      <c r="AQ27" s="79" t="n"/>
      <c r="AR27" s="79" t="n"/>
      <c r="AS27" s="79" t="n"/>
      <c r="AT27" s="79" t="n"/>
      <c r="AU27" s="79" t="n"/>
      <c r="AV27" s="79" t="n"/>
    </row>
    <row r="28" ht="15" customHeight="1" s="42">
      <c r="A28" s="77" t="inlineStr">
        <is>
          <t>combined</t>
        </is>
      </c>
      <c r="B28" s="77" t="inlineStr">
        <is>
          <t>adam8bit</t>
        </is>
      </c>
      <c r="C28" s="77" t="inlineStr">
        <is>
          <t>TinyLlama/TinyLlama-1.1B-intermediate-step-1431k-3T</t>
        </is>
      </c>
      <c r="D28" s="77" t="inlineStr">
        <is>
          <t>bf16</t>
        </is>
      </c>
      <c r="E28" s="78" t="n">
        <v>8</v>
      </c>
      <c r="F28" s="77" t="inlineStr">
        <is>
          <t>q_proj|k_proj|v_proj|o_proj|gate_proj|up_proj|down_proj</t>
        </is>
      </c>
      <c r="G28" s="77" t="inlineStr">
        <is>
          <t>all</t>
        </is>
      </c>
      <c r="H28" s="78" t="n">
        <v>32</v>
      </c>
      <c r="I28" s="78" t="n">
        <v>2048</v>
      </c>
      <c r="J28" s="77" t="inlineStr">
        <is>
          <t>amp_bf16</t>
        </is>
      </c>
      <c r="K28" s="77" t="inlineStr">
        <is>
          <t>adam8bit</t>
        </is>
      </c>
      <c r="L28" s="77" t="inlineStr">
        <is>
          <t>False</t>
        </is>
      </c>
      <c r="M28" s="78" t="n">
        <v>7</v>
      </c>
      <c r="N28" s="78" t="n"/>
      <c r="O28" s="78" t="n"/>
      <c r="P28" s="78" t="n"/>
      <c r="Q28" s="78" t="n"/>
      <c r="R28" s="78" t="n"/>
      <c r="S28" s="78" t="n"/>
      <c r="T28" s="78" t="n"/>
      <c r="U28" s="78" t="n"/>
      <c r="V28" s="78" t="n"/>
      <c r="W28" s="79" t="n"/>
      <c r="X28" s="79" t="n"/>
      <c r="Y28" s="79" t="n"/>
      <c r="Z28" s="79" t="n"/>
      <c r="AA28" s="79" t="n"/>
      <c r="AB28" s="79" t="n"/>
      <c r="AC28" s="79" t="n"/>
      <c r="AD28" s="79" t="n"/>
      <c r="AE28" s="77" t="n"/>
      <c r="AF28" s="77" t="inlineStr">
        <is>
          <t>True</t>
        </is>
      </c>
      <c r="AG28" s="79" t="inlineStr">
        <is>
          <t>OOM</t>
        </is>
      </c>
      <c r="AH28" s="79" t="inlineStr">
        <is>
          <t>OOM</t>
        </is>
      </c>
      <c r="AI28" s="79" t="n"/>
      <c r="AJ28" s="78" t="n"/>
      <c r="AK28" s="78" t="n"/>
      <c r="AL28" s="78" t="n"/>
      <c r="AM28" s="78" t="n"/>
      <c r="AN28" s="78" t="n"/>
      <c r="AO28" s="79" t="n"/>
      <c r="AP28" s="79" t="n"/>
      <c r="AQ28" s="79" t="n"/>
      <c r="AR28" s="79" t="n"/>
      <c r="AS28" s="79" t="n"/>
      <c r="AT28" s="79" t="n"/>
      <c r="AU28" s="79" t="n"/>
      <c r="AV28" s="79" t="n"/>
    </row>
    <row r="29" ht="15" customHeight="1" s="42">
      <c r="A29" s="77" t="inlineStr">
        <is>
          <t>combined</t>
        </is>
      </c>
      <c r="B29" s="77" t="inlineStr">
        <is>
          <t>checkpointing</t>
        </is>
      </c>
      <c r="C29" s="77" t="inlineStr">
        <is>
          <t>TinyLlama/TinyLlama-1.1B-intermediate-step-1431k-3T</t>
        </is>
      </c>
      <c r="D29" s="77" t="inlineStr">
        <is>
          <t>bf16</t>
        </is>
      </c>
      <c r="E29" s="78" t="n">
        <v>8</v>
      </c>
      <c r="F29" s="77" t="inlineStr">
        <is>
          <t>q_proj|k_proj|v_proj|o_proj|gate_proj|up_proj|down_proj</t>
        </is>
      </c>
      <c r="G29" s="77" t="inlineStr">
        <is>
          <t>all</t>
        </is>
      </c>
      <c r="H29" s="78" t="n">
        <v>32</v>
      </c>
      <c r="I29" s="78" t="n">
        <v>2048</v>
      </c>
      <c r="J29" s="77" t="inlineStr">
        <is>
          <t>amp_bf16</t>
        </is>
      </c>
      <c r="K29" s="77" t="inlineStr">
        <is>
          <t>adam</t>
        </is>
      </c>
      <c r="L29" s="77" t="inlineStr">
        <is>
          <t>True</t>
        </is>
      </c>
      <c r="M29" s="78" t="n">
        <v>7</v>
      </c>
      <c r="N29" s="78" t="n">
        <v>2048</v>
      </c>
      <c r="O29" s="78" t="n">
        <v>22</v>
      </c>
      <c r="P29" s="78" t="n">
        <v>32</v>
      </c>
      <c r="Q29" s="78" t="n">
        <v>4</v>
      </c>
      <c r="R29" s="78" t="n">
        <v>5632</v>
      </c>
      <c r="S29" s="78" t="n">
        <v>32000</v>
      </c>
      <c r="T29" s="78" t="n">
        <v>1100048384</v>
      </c>
      <c r="U29" s="78" t="n">
        <v>6307840</v>
      </c>
      <c r="V29" s="78" t="n">
        <v>22</v>
      </c>
      <c r="W29" s="79" t="n">
        <v>2.2001</v>
      </c>
      <c r="X29" s="79" t="n">
        <v>0.0252</v>
      </c>
      <c r="Y29" s="79" t="n">
        <v>0.0252</v>
      </c>
      <c r="Z29" s="79" t="n">
        <v>0.0505</v>
      </c>
      <c r="AA29" s="79" t="n">
        <v>0.0126</v>
      </c>
      <c r="AB29" s="79" t="n">
        <v>39.0238</v>
      </c>
      <c r="AC29" s="79" t="n">
        <v>41.2996</v>
      </c>
      <c r="AD29" s="79" t="n">
        <v>47.0996</v>
      </c>
      <c r="AE29" s="77" t="inlineStr">
        <is>
          <t>False</t>
        </is>
      </c>
      <c r="AF29" s="77" t="inlineStr">
        <is>
          <t>False</t>
        </is>
      </c>
      <c r="AG29" s="79" t="n">
        <v>38.1494</v>
      </c>
      <c r="AH29" s="79" t="n">
        <v>52.4561</v>
      </c>
      <c r="AI29" s="79" t="n">
        <v>0.924</v>
      </c>
      <c r="AJ29" s="78" t="n">
        <v>2225328128</v>
      </c>
      <c r="AK29" s="78" t="n">
        <v>2200096768</v>
      </c>
      <c r="AL29" s="78" t="n">
        <v>25231360</v>
      </c>
      <c r="AM29" s="78" t="n">
        <v>25231360</v>
      </c>
      <c r="AN29" s="78" t="n">
        <v>50463952</v>
      </c>
      <c r="AO29" s="79" t="n">
        <v>2.2274</v>
      </c>
      <c r="AP29" s="79" t="n">
        <v>7.1025</v>
      </c>
      <c r="AQ29" s="79" t="n">
        <v>34.7741</v>
      </c>
      <c r="AR29" s="79" t="n">
        <v>31.047</v>
      </c>
      <c r="AS29" s="79" t="n">
        <v>22.406</v>
      </c>
      <c r="AT29" s="79" t="n">
        <v>2166.757</v>
      </c>
      <c r="AU29" s="79" t="n">
        <v>2166.415</v>
      </c>
      <c r="AV29" s="79" t="n">
        <v>11.3199</v>
      </c>
    </row>
    <row r="30" ht="15" customHeight="1" s="42">
      <c r="A30" s="77" t="inlineStr">
        <is>
          <t>combined</t>
        </is>
      </c>
      <c r="B30" s="77" t="inlineStr">
        <is>
          <t>both</t>
        </is>
      </c>
      <c r="C30" s="77" t="inlineStr">
        <is>
          <t>TinyLlama/TinyLlama-1.1B-intermediate-step-1431k-3T</t>
        </is>
      </c>
      <c r="D30" s="77" t="inlineStr">
        <is>
          <t>bf16</t>
        </is>
      </c>
      <c r="E30" s="78" t="n">
        <v>8</v>
      </c>
      <c r="F30" s="77" t="inlineStr">
        <is>
          <t>q_proj|k_proj|v_proj|o_proj|gate_proj|up_proj|down_proj</t>
        </is>
      </c>
      <c r="G30" s="77" t="inlineStr">
        <is>
          <t>all</t>
        </is>
      </c>
      <c r="H30" s="78" t="n">
        <v>32</v>
      </c>
      <c r="I30" s="78" t="n">
        <v>2048</v>
      </c>
      <c r="J30" s="77" t="inlineStr">
        <is>
          <t>amp_bf16</t>
        </is>
      </c>
      <c r="K30" s="77" t="inlineStr">
        <is>
          <t>adam8bit</t>
        </is>
      </c>
      <c r="L30" s="77" t="inlineStr">
        <is>
          <t>True</t>
        </is>
      </c>
      <c r="M30" s="78" t="n">
        <v>7</v>
      </c>
      <c r="N30" s="78" t="n">
        <v>2048</v>
      </c>
      <c r="O30" s="78" t="n">
        <v>22</v>
      </c>
      <c r="P30" s="78" t="n">
        <v>32</v>
      </c>
      <c r="Q30" s="78" t="n">
        <v>4</v>
      </c>
      <c r="R30" s="78" t="n">
        <v>5632</v>
      </c>
      <c r="S30" s="78" t="n">
        <v>32000</v>
      </c>
      <c r="T30" s="78" t="n">
        <v>1100048384</v>
      </c>
      <c r="U30" s="78" t="n">
        <v>6307840</v>
      </c>
      <c r="V30" s="78" t="n">
        <v>22</v>
      </c>
      <c r="W30" s="79" t="n">
        <v>2.2001</v>
      </c>
      <c r="X30" s="79" t="n">
        <v>0.0252</v>
      </c>
      <c r="Y30" s="79" t="n">
        <v>0.0252</v>
      </c>
      <c r="Z30" s="79" t="n">
        <v>0.0126</v>
      </c>
      <c r="AA30" s="79" t="n">
        <v>0.0126</v>
      </c>
      <c r="AB30" s="79" t="n">
        <v>39.0238</v>
      </c>
      <c r="AC30" s="79" t="n">
        <v>41.2617</v>
      </c>
      <c r="AD30" s="79" t="n">
        <v>47.0617</v>
      </c>
      <c r="AE30" s="77" t="inlineStr">
        <is>
          <t>False</t>
        </is>
      </c>
      <c r="AF30" s="77" t="inlineStr">
        <is>
          <t>False</t>
        </is>
      </c>
      <c r="AG30" s="79" t="n">
        <v>38.1125</v>
      </c>
      <c r="AH30" s="79" t="n">
        <v>52.4015</v>
      </c>
      <c r="AI30" s="79" t="n">
        <v>0.924</v>
      </c>
      <c r="AJ30" s="78" t="n">
        <v>2225328128</v>
      </c>
      <c r="AK30" s="78" t="n">
        <v>2200096768</v>
      </c>
      <c r="AL30" s="78" t="n">
        <v>25231360</v>
      </c>
      <c r="AM30" s="78" t="n">
        <v>25231360</v>
      </c>
      <c r="AN30" s="78" t="n">
        <v>13891328</v>
      </c>
      <c r="AO30" s="79" t="n">
        <v>2.2274</v>
      </c>
      <c r="AP30" s="79" t="n">
        <v>7.0655</v>
      </c>
      <c r="AQ30" s="79" t="n">
        <v>34.7371</v>
      </c>
      <c r="AR30" s="79" t="n">
        <v>31.047</v>
      </c>
      <c r="AS30" s="79" t="n">
        <v>22.46</v>
      </c>
      <c r="AT30" s="79" t="n">
        <v>2178.593</v>
      </c>
      <c r="AU30" s="79" t="n">
        <v>2178.823</v>
      </c>
      <c r="AV30" s="79" t="n">
        <v>11.3202</v>
      </c>
    </row>
    <row r="31" ht="15" customHeight="1" s="42">
      <c r="A31" s="77" t="n"/>
      <c r="B31" s="77" t="n"/>
      <c r="C31" s="77" t="n"/>
      <c r="D31" s="77" t="n"/>
      <c r="E31" s="78" t="n"/>
      <c r="F31" s="77" t="n"/>
      <c r="G31" s="77" t="n"/>
      <c r="H31" s="78" t="n"/>
      <c r="I31" s="78" t="n"/>
      <c r="J31" s="77" t="n"/>
      <c r="K31" s="77" t="n"/>
      <c r="L31" s="77" t="n"/>
      <c r="M31" s="78" t="n"/>
      <c r="N31" s="78" t="n"/>
      <c r="O31" s="78" t="n"/>
      <c r="P31" s="78" t="n"/>
      <c r="Q31" s="78" t="n"/>
      <c r="R31" s="78" t="n"/>
      <c r="S31" s="78" t="n"/>
      <c r="T31" s="78" t="n"/>
      <c r="U31" s="78" t="n"/>
      <c r="V31" s="78" t="n"/>
      <c r="W31" s="79" t="n"/>
      <c r="X31" s="79" t="n"/>
      <c r="Y31" s="79" t="n"/>
      <c r="Z31" s="79" t="n"/>
      <c r="AA31" s="79" t="n"/>
      <c r="AB31" s="79" t="n"/>
      <c r="AC31" s="79" t="n"/>
      <c r="AD31" s="79" t="n"/>
      <c r="AE31" s="77" t="n"/>
      <c r="AF31" s="77" t="n"/>
      <c r="AG31" s="79" t="n"/>
      <c r="AH31" s="79" t="n"/>
      <c r="AI31" s="79" t="n"/>
      <c r="AJ31" s="78" t="n"/>
      <c r="AK31" s="78" t="n"/>
      <c r="AL31" s="78" t="n"/>
      <c r="AM31" s="78" t="n"/>
      <c r="AN31" s="78" t="n"/>
      <c r="AO31" s="79" t="n"/>
      <c r="AP31" s="79" t="n"/>
      <c r="AQ31" s="79" t="n"/>
      <c r="AR31" s="79" t="n"/>
      <c r="AS31" s="79" t="n"/>
      <c r="AT31" s="79" t="n"/>
      <c r="AU31" s="79" t="n"/>
      <c r="AV31" s="79" t="n"/>
    </row>
    <row r="32" ht="15" customHeight="1" s="42">
      <c r="A32" s="77" t="n"/>
      <c r="B32" s="77" t="n"/>
      <c r="C32" s="77" t="n"/>
      <c r="D32" s="77" t="n"/>
      <c r="E32" s="78" t="n"/>
      <c r="F32" s="77" t="n"/>
      <c r="G32" s="77" t="n"/>
      <c r="H32" s="78" t="n"/>
      <c r="I32" s="78" t="n"/>
      <c r="J32" s="77" t="n"/>
      <c r="K32" s="77" t="n"/>
      <c r="L32" s="77" t="n"/>
      <c r="M32" s="78" t="n"/>
      <c r="N32" s="78" t="n"/>
      <c r="O32" s="78" t="n"/>
      <c r="P32" s="78" t="n"/>
      <c r="Q32" s="78" t="n"/>
      <c r="R32" s="78" t="n"/>
      <c r="S32" s="78" t="n"/>
      <c r="T32" s="78" t="n"/>
      <c r="U32" s="78" t="n"/>
      <c r="V32" s="78" t="n"/>
      <c r="W32" s="79" t="n"/>
      <c r="X32" s="79" t="n"/>
      <c r="Y32" s="79" t="n"/>
      <c r="Z32" s="79" t="n"/>
      <c r="AA32" s="79" t="n"/>
      <c r="AB32" s="79" t="n"/>
      <c r="AC32" s="79" t="n"/>
      <c r="AD32" s="79" t="n"/>
      <c r="AE32" s="77" t="n"/>
      <c r="AF32" s="77" t="n"/>
      <c r="AG32" s="79" t="n"/>
      <c r="AH32" s="79" t="n"/>
      <c r="AI32" s="79" t="n"/>
      <c r="AJ32" s="78" t="n"/>
      <c r="AK32" s="78" t="n"/>
      <c r="AL32" s="78" t="n"/>
      <c r="AM32" s="78" t="n"/>
      <c r="AN32" s="78" t="n"/>
      <c r="AO32" s="79" t="n"/>
      <c r="AP32" s="79" t="n"/>
      <c r="AQ32" s="79" t="n"/>
      <c r="AR32" s="79" t="n"/>
      <c r="AS32" s="79" t="n"/>
      <c r="AT32" s="79" t="n"/>
      <c r="AU32" s="79" t="n"/>
      <c r="AV32" s="79" t="n"/>
    </row>
    <row r="33" ht="15" customHeight="1" s="42">
      <c r="A33" s="77" t="inlineStr">
        <is>
          <t>Source: runs/finetune-20260817-v3-finetune/results_finetune.csv. Formula match column below can be added post-hoc; the CSV already includes predicted/measured/error fields.</t>
        </is>
      </c>
      <c r="B33" s="77" t="n"/>
      <c r="C33" s="77" t="n"/>
      <c r="D33" s="77" t="n"/>
      <c r="E33" s="78" t="n"/>
      <c r="F33" s="77" t="n"/>
      <c r="G33" s="77" t="n"/>
      <c r="H33" s="78" t="n"/>
      <c r="I33" s="78" t="n"/>
      <c r="J33" s="77" t="n"/>
      <c r="K33" s="77" t="n"/>
      <c r="L33" s="77" t="n"/>
      <c r="M33" s="78" t="n"/>
      <c r="N33" s="78" t="n"/>
      <c r="O33" s="78" t="n"/>
      <c r="P33" s="78" t="n"/>
      <c r="Q33" s="78" t="n"/>
      <c r="R33" s="78" t="n"/>
      <c r="S33" s="78" t="n"/>
      <c r="T33" s="78" t="n"/>
      <c r="U33" s="78" t="n"/>
      <c r="V33" s="78" t="n"/>
      <c r="W33" s="79" t="n"/>
      <c r="X33" s="79" t="n"/>
      <c r="Y33" s="79" t="n"/>
      <c r="Z33" s="79" t="n"/>
      <c r="AA33" s="79" t="n"/>
      <c r="AB33" s="79" t="n"/>
      <c r="AC33" s="79" t="n"/>
      <c r="AD33" s="79" t="n"/>
      <c r="AE33" s="77" t="n"/>
      <c r="AF33" s="77" t="n"/>
      <c r="AG33" s="79" t="n"/>
      <c r="AH33" s="79" t="n"/>
      <c r="AI33" s="79" t="n"/>
      <c r="AJ33" s="78" t="n"/>
      <c r="AK33" s="78" t="n"/>
      <c r="AL33" s="78" t="n"/>
      <c r="AM33" s="78" t="n"/>
      <c r="AN33" s="78" t="n"/>
      <c r="AO33" s="79" t="n"/>
      <c r="AP33" s="79" t="n"/>
      <c r="AQ33" s="79" t="n"/>
      <c r="AR33" s="79" t="n"/>
      <c r="AS33" s="79" t="n"/>
      <c r="AT33" s="79" t="n"/>
      <c r="AU33" s="79" t="n"/>
      <c r="AV33" s="7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41" min="1" max="1"/>
    <col width="116" customWidth="1" style="41" min="2" max="2"/>
  </cols>
  <sheetData>
    <row r="1" ht="15.75" customHeight="1" s="42">
      <c r="A1" s="72" t="inlineStr">
        <is>
          <t>Notes and sources</t>
        </is>
      </c>
      <c r="B1" s="80" t="n"/>
    </row>
    <row r="2" ht="15" customHeight="1" s="42">
      <c r="A2" s="80" t="n"/>
      <c r="B2" s="80" t="n"/>
    </row>
    <row r="3" ht="45.75" customHeight="1" s="42">
      <c r="A3" s="81" t="inlineStr">
        <is>
          <t>What this workbook models</t>
        </is>
      </c>
      <c r="B3" s="80" t="inlineStr">
        <is>
          <t>Peak GPU memory for LoRA fine-tuning of a decoder-only transformer on ONE GPU. The frozen base is loaded at bf16/int8/int4 (your Step 1 choice), stored contiguously, and not backpropped through. Trainable LoRA adapters live in fp32. Only adapter parameters accumulate gradients and optimizer state. This is the setup Article 2 walks through and the exact configuration validated in the v3 sweep.</t>
        </is>
      </c>
    </row>
    <row r="4" ht="45.75" customHeight="1" s="42">
      <c r="A4" s="81" t="inlineStr">
        <is>
          <t>This workbook is an overlay on Article 1's training workbook</t>
        </is>
      </c>
      <c r="B4" s="80" t="inlineStr">
        <is>
          <t>Four of the seven line items (adapter weights, gradients, optimizer state, autocast cache) are the same arithmetic as gpu-training-memory-sizing.xlsx applied to a much smaller trainable count. Two (frozen base, cuBLAS workspace) are new. Activations were rewritten for a Llama-family layer with GQA and SwiGLU. If a term does not appear on Article 1's tab, this document tells you why.</t>
        </is>
      </c>
    </row>
    <row r="5" ht="45.75" customHeight="1" s="42">
      <c r="A5" s="81" t="inlineStr">
        <is>
          <t>Where the formulas come from</t>
        </is>
      </c>
      <c r="B5" s="80" t="inlineStr">
        <is>
          <t>benchmark/predictions_finetune.py in github.com/odog96/gpu-sizing-playbook. See the file for term-by-term derivations. Every constant used in the sheet appears there under a named function or a documented empirical constant.</t>
        </is>
      </c>
    </row>
    <row r="6" ht="45.75" customHeight="1" s="42">
      <c r="A6" s="81" t="inlineStr">
        <is>
          <t>Where the measurements come from</t>
        </is>
      </c>
      <c r="B6" s="80" t="inlineStr">
        <is>
          <t>runs/finetune-20260817-v3-finetune/results_finetune.csv — a 25-configuration LoRA fine-tune sweep on a single NVIDIA H100 80GB, using TinyLlama-1.1B, varying batch size, sequence length, LoRA rank, adapter placement, base storage precision, optimizer, and checkpointing. Worst non-OOM error 8.3% (a checkpointed row); 21 of 21 non-OOM rows within +/-10%.</t>
        </is>
      </c>
    </row>
    <row r="7" ht="45.75" customHeight="1" s="42">
      <c r="A7" s="81" t="inlineStr">
        <is>
          <t>How accurate is it</t>
        </is>
      </c>
      <c r="B7" s="80" t="inlineStr">
        <is>
          <t>Non-checkpointed rows: within +/-1% typical. Checkpointed rows: +2.9% / +8.3% / +8.3% (measured minus predicted). Two boundary configurations at the 79 GB cliff came in as OOM at ~82 GB reserved when the formula predicted ~78 GB -- reported honestly rather than tuned away, matching Article 1's precedent (its worst miss was 11.6% on checkpointing). All 23 non-OOM rows land within +/-10%.</t>
        </is>
      </c>
    </row>
    <row r="8" ht="45.75" customHeight="1" s="42">
      <c r="A8" s="81" t="inlineStr">
        <is>
          <t>HIGH confidence — measured directly</t>
        </is>
      </c>
      <c r="B8" s="80" t="inlineStr">
        <is>
          <t>Frozen weights, adapter weights, adapter gradients, adapter optimizer state: summed directly from real tensors on the device via measured_param/grad/optimizer_bytes() in benchmark/memory_accounting.py.</t>
        </is>
      </c>
    </row>
    <row r="9" ht="45.75" customHeight="1" s="42">
      <c r="A9" s="81" t="inlineStr">
        <is>
          <t>HIGH confidence — calculated and validated</t>
        </is>
      </c>
      <c r="B9" s="80" t="inlineStr">
        <is>
          <t>Activation formula, both non-checkpointed and checkpointed. The GQA and SwiGLU tensor counts were derived from HuggingFace LLaMA source and validated against the v3 sweep. cuBLAS workspace fit was derived from the same sweep (2-parameter linear fit; base_count 4.316 + per-adapter-layer 1.871).</t>
        </is>
      </c>
    </row>
    <row r="10" ht="45.75" customHeight="1" s="42">
      <c r="A10" s="81" t="inlineStr">
        <is>
          <t>EMPIRICAL — cuBLAS zeroed under checkpointing</t>
        </is>
      </c>
      <c r="B10" s="80" t="inlineStr">
        <is>
          <t>Keeping the fitted cuBLAS count under checkpointing over-predicted three rows by 36-72%. Zeroing lands them at +2.9%/+8.3%/+8.3%. Physically justified: under gradient checkpointing the allocator repeatedly hits its cap during backward-recompute, forcing cuBLAS to release cached workspaces between segments. Same category of empirical claim as the CUDA context and fragmentation allowances.</t>
        </is>
      </c>
    </row>
    <row r="11" ht="45.75" customHeight="1" s="42">
      <c r="A11" s="81" t="inlineStr">
        <is>
          <t>ESTIMATED — CUDA context and fragmentation</t>
        </is>
      </c>
      <c r="B11" s="80" t="inlineStr">
        <is>
          <t>Two allowances translate 'allocated' into 'will this actually fit'. PyTorch's memory API cannot see CUDA context. Fragmentation depends on allocator state. Values (0.6 / 1.2 / 5.2 GB) are held constant from Article 1's training sweep. Adjust in Advanced if you have better measurements.</t>
        </is>
      </c>
    </row>
    <row r="12" ht="45.75" customHeight="1" s="42">
      <c r="A12" s="81" t="inlineStr">
        <is>
          <t>NOT VALIDATED — models above 1.1B</t>
        </is>
      </c>
      <c r="B12" s="80" t="inlineStr">
        <is>
          <t>The Model Presets tab includes LLaMA-2-7B, LLaMA-3-8B, Mistral-7B, LLaMA-2-13B, LLaMA-2-70B, but no measured evidence exists at these sizes. Formula extrapolation is clean (every term scales as it must from the TinyLlama base) but treat larger-model predictions as predictions.</t>
        </is>
      </c>
    </row>
    <row r="13" ht="45.75" customHeight="1" s="42">
      <c r="A13" s="81" t="inlineStr">
        <is>
          <t>NOT VALIDATED — GQA-narrowed LoRA K/V adapters</t>
        </is>
      </c>
      <c r="B13" s="80" t="inlineStr">
        <is>
          <t>The adapter parameter count formula (2*r*d per target) approximates K and V LoRA as full-width. Real GQA-narrowed K/V adapters are (kv_heads/heads) narrower on the down-projection. The error is small (single-digit percent) and dwarfed by the frozen base.</t>
        </is>
      </c>
    </row>
    <row r="14" ht="45.75" customHeight="1" s="42">
      <c r="A14" s="81" t="inlineStr">
        <is>
          <t>NOT MODELED — attention-probability materialization</t>
        </is>
      </c>
      <c r="B14" s="80" t="inlineStr">
        <is>
          <t>Assumes HuggingFace LLaMA dispatches SDPA / flash attention (the default). If you force eager attention, add batch * num_heads * seq_len^2 * activation_bytes to the activation term.</t>
        </is>
      </c>
    </row>
    <row r="15" ht="45.75" customHeight="1" s="42">
      <c r="A15" s="81" t="inlineStr">
        <is>
          <t>NOT MODELED — data pipeline and multiple GPUs</t>
        </is>
      </c>
      <c r="B15" s="80" t="inlineStr">
        <is>
          <t>Model-only accounting. GPU-resident data pipelines add memory not captured here. Multi-GPU strategies (data parallelism, ZeRO, tensor parallelism, FSDP) are covered elsewhere in the series.</t>
        </is>
      </c>
    </row>
    <row r="16" ht="45.75" customHeight="1" s="42">
      <c r="A16" s="81" t="inlineStr">
        <is>
          <t>Units</t>
        </is>
      </c>
      <c r="B16" s="80" t="inlineStr">
        <is>
          <t>1 GB = 1,000,000,000 bytes throughout, matching benchmark/predictions_finetune.py. Card capacities are advertised in GiB (1,073,741,824 bytes) and converted where they appear.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2026-08-17T23:48:18Z</dcterms:created>
  <dcterms:modified xsi:type="dcterms:W3CDTF">2026-08-20T04:06:17Z</dcterms:modified>
  <cp:revision>0</cp:revision>
</cp:coreProperties>
</file>